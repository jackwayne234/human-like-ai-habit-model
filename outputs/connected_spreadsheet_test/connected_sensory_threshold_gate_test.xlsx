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8e6f6c2e1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Compact View" sheetId="1" r:id="R6a3090b5747b4818"/>
    <x:sheet xmlns:r="http://schemas.openxmlformats.org/officeDocument/2006/relationships" name="01 Sensory Input" sheetId="2" r:id="R88a4ae9b126b4e22"/>
    <x:sheet xmlns:r="http://schemas.openxmlformats.org/officeDocument/2006/relationships" name="02a n" sheetId="3" r:id="R779391b3d0de454e"/>
    <x:sheet xmlns:r="http://schemas.openxmlformats.org/officeDocument/2006/relationships" name="02b n^-1" sheetId="4" r:id="R51f43b36323c40d4"/>
    <x:sheet xmlns:r="http://schemas.openxmlformats.org/officeDocument/2006/relationships" name="02c n^-2" sheetId="5" r:id="R7c6b90bfcd2b4e81"/>
    <x:sheet xmlns:r="http://schemas.openxmlformats.org/officeDocument/2006/relationships" name="03 Mind Knobs" sheetId="6" r:id="R672d12be64904a13"/>
    <x:sheet xmlns:r="http://schemas.openxmlformats.org/officeDocument/2006/relationships" name="04 Resource Body" sheetId="7" r:id="Rf5875ae5b50d425a"/>
    <x:sheet xmlns:r="http://schemas.openxmlformats.org/officeDocument/2006/relationships" name="05 Gate Output" sheetId="8" r:id="Ra9837118a1194ce0"/>
    <x:sheet xmlns:r="http://schemas.openxmlformats.org/officeDocument/2006/relationships" name="06 Habit Efficiency" sheetId="9" r:id="R4243966080ff4af4"/>
    <x:sheet xmlns:r="http://schemas.openxmlformats.org/officeDocument/2006/relationships" name="07 Mode Presets" sheetId="10" r:id="R411eeffef5dd4bb0"/>
    <x:sheet xmlns:r="http://schemas.openxmlformats.org/officeDocument/2006/relationships" name="08 Summary" sheetId="11" r:id="R0f391dc3bfe4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11182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D1FAE5"/>
      </x:patternFill>
    </x:fill>
  </x:fills>
  <x:borders count="4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200" fontId="0" fillId="0" borderId="0" xfId="0" applyNumberFormat="1" applyFont="1" applyFill="1" applyBorder="1"/>
    <x:xf numFmtId="200" fontId="5" fillId="4" borderId="1" xfId="0" applyNumberFormat="1" applyFont="1" applyFill="1" applyBorder="1"/>
    <x:xf numFmtId="200" fontId="5" fillId="4" borderId="2" xfId="0" applyNumberFormat="1" applyFont="1" applyFill="1" applyBorder="1"/>
    <x:xf numFmtId="200" fontId="5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806c010934ba9" /><Relationship Type="http://schemas.openxmlformats.org/officeDocument/2006/relationships/theme" Target="/xl/theme/theme1.xml" Id="R2a0f22a88b5c454b" /><Relationship Type="http://schemas.openxmlformats.org/officeDocument/2006/relationships/sharedStrings" Target="/xl/sharedStrings.xml" Id="Rba7c542842d54140" /><Relationship Type="http://schemas.openxmlformats.org/officeDocument/2006/relationships/worksheet" Target="/xl/worksheets/sheet1.xml" Id="R6a3090b5747b4818" /><Relationship Type="http://schemas.openxmlformats.org/officeDocument/2006/relationships/worksheet" Target="/xl/worksheets/sheet2.xml" Id="R88a4ae9b126b4e22" /><Relationship Type="http://schemas.openxmlformats.org/officeDocument/2006/relationships/worksheet" Target="/xl/worksheets/sheet3.xml" Id="R779391b3d0de454e" /><Relationship Type="http://schemas.openxmlformats.org/officeDocument/2006/relationships/worksheet" Target="/xl/worksheets/sheet4.xml" Id="R51f43b36323c40d4" /><Relationship Type="http://schemas.openxmlformats.org/officeDocument/2006/relationships/worksheet" Target="/xl/worksheets/sheet5.xml" Id="R7c6b90bfcd2b4e81" /><Relationship Type="http://schemas.openxmlformats.org/officeDocument/2006/relationships/worksheet" Target="/xl/worksheets/sheet6.xml" Id="R672d12be64904a13" /><Relationship Type="http://schemas.openxmlformats.org/officeDocument/2006/relationships/worksheet" Target="/xl/worksheets/sheet7.xml" Id="Rf5875ae5b50d425a" /><Relationship Type="http://schemas.openxmlformats.org/officeDocument/2006/relationships/worksheet" Target="/xl/worksheets/sheet8.xml" Id="Ra9837118a1194ce0" /><Relationship Type="http://schemas.openxmlformats.org/officeDocument/2006/relationships/worksheet" Target="/xl/worksheets/sheet9.xml" Id="R4243966080ff4af4" /><Relationship Type="http://schemas.openxmlformats.org/officeDocument/2006/relationships/worksheet" Target="/xl/worksheets/sheet10.xml" Id="R411eeffef5dd4bb0" /><Relationship Type="http://schemas.openxmlformats.org/officeDocument/2006/relationships/worksheet" Target="/xl/worksheets/sheet11.xml" Id="R0f391dc3bfe441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670000076293945" hidden="0" customWidth="1"/>
    <x:col min="2" max="2" width="4.670000076293945" hidden="0" customWidth="1"/>
    <x:col min="3" max="3" width="4.670000076293945" hidden="0" customWidth="1"/>
    <x:col min="4" max="4" width="4.670000076293945" hidden="0" customWidth="1"/>
    <x:col min="5" max="5" width="4.670000076293945" hidden="0" customWidth="1"/>
    <x:col min="6" max="6" width="4.670000076293945" hidden="0" customWidth="1"/>
    <x:col min="7" max="7" width="4.670000076293945" hidden="0" customWidth="1"/>
    <x:col min="8" max="8" width="4.670000076293945" hidden="0" customWidth="1"/>
    <x:col min="9" max="9" width="4.670000076293945" hidden="0" customWidth="1"/>
    <x:col min="10" max="10" width="4.670000076293945" hidden="0" customWidth="1"/>
    <x:col min="11" max="11" width="4.670000076293945" hidden="0" customWidth="1"/>
    <x:col min="12" max="12" width="4.670000076293945" hidden="0" customWidth="1"/>
    <x:col min="13" max="13" width="4.670000076293945" hidden="0" customWidth="1"/>
    <x:col min="14" max="14" width="4.670000076293945" hidden="0" customWidth="1"/>
    <x:col min="15" max="15" width="4.670000076293945" hidden="0" customWidth="1"/>
    <x:col min="16" max="16" width="4.670000076293945" hidden="0" customWidth="1"/>
    <x:col min="17" max="17" width="4.670000076293945" hidden="0" customWidth="1"/>
    <x:col min="18" max="18" width="4.670000076293945" hidden="0" customWidth="1"/>
    <x:col min="19" max="19" width="4.670000076293945" hidden="0" customWidth="1"/>
    <x:col min="20" max="20" width="4.670000076293945" hidden="0" customWidth="1"/>
    <x:col min="21" max="21" width="4.670000076293945" hidden="0" customWidth="1"/>
    <x:col min="22" max="22" width="4.670000076293945" hidden="0" customWidth="1"/>
    <x:col min="23" max="23" width="4.670000076293945" hidden="0" customWidth="1"/>
    <x:col min="24" max="24" width="4.670000076293945" hidden="0" customWidth="1"/>
    <x:col min="25" max="25" width="4.670000076293945" hidden="0" customWidth="1"/>
    <x:col min="26" max="26" width="4.670000076293945" hidden="0" customWidth="1"/>
  </x:cols>
  <x:sheetData>
    <x:row r="1" ht="19.5" customHeight="1">
      <x:c r="A1" s="4" t="str">
        <x:v>00 Compact View</x:v>
      </x:c>
      <x:c r="B1" s="4" t="str">
        <x:v>00 Compact View</x:v>
      </x:c>
      <x:c r="C1" s="4" t="str">
        <x:v>00 Compact View</x:v>
      </x:c>
      <x:c r="D1" s="4" t="str">
        <x:v>00 Compact View</x:v>
      </x:c>
      <x:c r="E1" s="4" t="str">
        <x:v>00 Compact View</x:v>
      </x:c>
      <x:c r="F1" s="4" t="str">
        <x:v>00 Compact View</x:v>
      </x:c>
      <x:c r="G1" s="4" t="str">
        <x:v>00 Compact View</x:v>
      </x:c>
      <x:c r="H1" s="4" t="str">
        <x:v>00 Compact View</x:v>
      </x:c>
      <x:c r="I1" s="4" t="str">
        <x:v>00 Compact View</x:v>
      </x:c>
      <x:c r="J1" s="4" t="str">
        <x:v>00 Compact View</x:v>
      </x:c>
      <x:c r="K1" s="4" t="str">
        <x:v>00 Compact View</x:v>
      </x:c>
      <x:c r="L1" s="4" t="str">
        <x:v>00 Compact View</x:v>
      </x:c>
      <x:c r="M1" s="4" t="str">
        <x:v>00 Compact View</x:v>
      </x:c>
      <x:c r="N1" s="4" t="str">
        <x:v>00 Compact View</x:v>
      </x:c>
      <x:c r="O1" s="4" t="str">
        <x:v>00 Compact View</x:v>
      </x:c>
      <x:c r="P1" s="4" t="str">
        <x:v>00 Compact View</x:v>
      </x:c>
      <x:c r="Q1" s="4" t="str">
        <x:v>00 Compact View</x:v>
      </x:c>
      <x:c r="R1" s="4" t="str">
        <x:v>00 Compact View</x:v>
      </x:c>
      <x:c r="S1" s="4" t="str">
        <x:v>00 Compact View</x:v>
      </x:c>
      <x:c r="T1" s="4" t="str">
        <x:v>00 Compact View</x:v>
      </x:c>
      <x:c r="U1" s="4" t="str">
        <x:v>00 Compact View</x:v>
      </x:c>
      <x:c r="V1" s="4" t="str">
        <x:v>00 Compact View</x:v>
      </x:c>
      <x:c r="W1" s="4" t="str">
        <x:v>00 Compact View</x:v>
      </x:c>
      <x:c r="X1" s="4" t="str">
        <x:v>00 Compact View</x:v>
      </x:c>
      <x:c r="Y1" s="4" t="str">
        <x:v>00 Compact View</x:v>
      </x:c>
      <x:c r="Z1" s="4" t="str">
        <x:v>00 Compact View</x:v>
      </x:c>
    </x:row>
    <x:row r="2" ht="18" customHeight="1">
      <x:c r="A2" s="6" t="str">
        <x:v>One row per tick. Sensory values are 0.00-1.00. Monitor and route outputs are numeric.</x:v>
      </x:c>
      <x:c r="B2" s="6" t="str">
        <x:v>One row per tick. Sensory values are 0.00-1.00. Monitor and route outputs are numeric.</x:v>
      </x:c>
      <x:c r="C2" s="6" t="str">
        <x:v>One row per tick. Sensory values are 0.00-1.00. Monitor and route outputs are numeric.</x:v>
      </x:c>
      <x:c r="D2" s="6" t="str">
        <x:v>One row per tick. Sensory values are 0.00-1.00. Monitor and route outputs are numeric.</x:v>
      </x:c>
      <x:c r="E2" s="6" t="str">
        <x:v>One row per tick. Sensory values are 0.00-1.00. Monitor and route outputs are numeric.</x:v>
      </x:c>
      <x:c r="F2" s="6" t="str">
        <x:v>One row per tick. Sensory values are 0.00-1.00. Monitor and route outputs are numeric.</x:v>
      </x:c>
      <x:c r="G2" s="6" t="str">
        <x:v>One row per tick. Sensory values are 0.00-1.00. Monitor and route outputs are numeric.</x:v>
      </x:c>
      <x:c r="H2" s="6" t="str">
        <x:v>One row per tick. Sensory values are 0.00-1.00. Monitor and route outputs are numeric.</x:v>
      </x:c>
      <x:c r="I2" s="6" t="str">
        <x:v>One row per tick. Sensory values are 0.00-1.00. Monitor and route outputs are numeric.</x:v>
      </x:c>
      <x:c r="J2" s="6" t="str">
        <x:v>One row per tick. Sensory values are 0.00-1.00. Monitor and route outputs are numeric.</x:v>
      </x:c>
      <x:c r="K2" s="6" t="str">
        <x:v>One row per tick. Sensory values are 0.00-1.00. Monitor and route outputs are numeric.</x:v>
      </x:c>
      <x:c r="L2" s="6" t="str">
        <x:v>One row per tick. Sensory values are 0.00-1.00. Monitor and route outputs are numeric.</x:v>
      </x:c>
      <x:c r="M2" s="6" t="str">
        <x:v>One row per tick. Sensory values are 0.00-1.00. Monitor and route outputs are numeric.</x:v>
      </x:c>
      <x:c r="N2" s="6" t="str">
        <x:v>One row per tick. Sensory values are 0.00-1.00. Monitor and route outputs are numeric.</x:v>
      </x:c>
      <x:c r="O2" s="6" t="str">
        <x:v>One row per tick. Sensory values are 0.00-1.00. Monitor and route outputs are numeric.</x:v>
      </x:c>
      <x:c r="P2" s="6" t="str">
        <x:v>One row per tick. Sensory values are 0.00-1.00. Monitor and route outputs are numeric.</x:v>
      </x:c>
      <x:c r="Q2" s="6" t="str">
        <x:v>One row per tick. Sensory values are 0.00-1.00. Monitor and route outputs are numeric.</x:v>
      </x:c>
      <x:c r="R2" s="6" t="str">
        <x:v>One row per tick. Sensory values are 0.00-1.00. Monitor and route outputs are numeric.</x:v>
      </x:c>
      <x:c r="S2" s="6" t="str">
        <x:v>One row per tick. Sensory values are 0.00-1.00. Monitor and route outputs are numeric.</x:v>
      </x:c>
      <x:c r="T2" s="6" t="str">
        <x:v>One row per tick. Sensory values are 0.00-1.00. Monitor and route outputs are numeric.</x:v>
      </x:c>
      <x:c r="U2" s="6" t="str">
        <x:v>One row per tick. Sensory values are 0.00-1.00. Monitor and route outputs are numeric.</x:v>
      </x:c>
      <x:c r="V2" s="6" t="str">
        <x:v>One row per tick. Sensory values are 0.00-1.00. Monitor and route outputs are numeric.</x:v>
      </x:c>
      <x:c r="W2" s="6" t="str">
        <x:v>One row per tick. Sensory values are 0.00-1.00. Monitor and route outputs are numeric.</x:v>
      </x:c>
      <x:c r="X2" s="6" t="str">
        <x:v>One row per tick. Sensory values are 0.00-1.00. Monitor and route outputs are numeric.</x:v>
      </x:c>
      <x:c r="Y2" s="6" t="str">
        <x:v>One row per tick. Sensory values are 0.00-1.00. Monitor and route outputs are numeric.</x:v>
      </x:c>
      <x:c r="Z2" s="6" t="str">
        <x:v>One row per tick. Sensory values are 0.00-1.00. Monitor and route outputs are numeric.</x:v>
      </x:c>
    </x:row>
    <x:row r="5">
      <x:c r="A5" s="9" t="str">
        <x:v>sample</x:v>
      </x:c>
      <x:c r="B5" s="10" t="str">
        <x:v>tick</x:v>
      </x:c>
      <x:c r="C5" s="10" t="str">
        <x:v>b</x:v>
      </x:c>
      <x:c r="D5" s="10" t="str">
        <x:v>v</x:v>
      </x:c>
      <x:c r="E5" s="10" t="str">
        <x:v>to</x:v>
      </x:c>
      <x:c r="F5" s="10" t="str">
        <x:v>ta</x:v>
      </x:c>
      <x:c r="G5" s="10" t="str">
        <x:v>s</x:v>
      </x:c>
      <x:c r="H5" s="10" t="str">
        <x:v>n_b</x:v>
      </x:c>
      <x:c r="I5" s="10" t="str">
        <x:v>n_v</x:v>
      </x:c>
      <x:c r="J5" s="10" t="str">
        <x:v>n_to</x:v>
      </x:c>
      <x:c r="K5" s="10" t="str">
        <x:v>n_ta</x:v>
      </x:c>
      <x:c r="L5" s="10" t="str">
        <x:v>n_s</x:v>
      </x:c>
      <x:c r="M5" s="10" t="str">
        <x:v>d_b</x:v>
      </x:c>
      <x:c r="N5" s="10" t="str">
        <x:v>d_v</x:v>
      </x:c>
      <x:c r="O5" s="10" t="str">
        <x:v>d_to</x:v>
      </x:c>
      <x:c r="P5" s="10" t="str">
        <x:v>d_ta</x:v>
      </x:c>
      <x:c r="Q5" s="10" t="str">
        <x:v>d_s</x:v>
      </x:c>
      <x:c r="R5" s="10" t="str">
        <x:v>x</x:v>
      </x:c>
      <x:c r="S5" s="10" t="str">
        <x:v>c</x:v>
      </x:c>
      <x:c r="T5" s="10" t="str">
        <x:v>a</x:v>
      </x:c>
      <x:c r="U5" s="10" t="str">
        <x:v>ignore</x:v>
      </x:c>
      <x:c r="V5" s="10" t="str">
        <x:v>watch</x:v>
      </x:c>
      <x:c r="W5" s="10" t="str">
        <x:v>promote</x:v>
      </x:c>
      <x:c r="X5" s="10" t="str">
        <x:v>episode</x:v>
      </x:c>
      <x:c r="Y5" s="10" t="str">
        <x:v>emerg</x:v>
      </x:c>
      <x:c r="Z5" s="11" t="str">
        <x:v>up</x:v>
      </x:c>
    </x:row>
    <x:row r="6">
      <x:c r="A6" t="n">
        <x:f>'01 Sensory Input'!A6</x:f>
        <x:v>1</x:v>
      </x:c>
      <x:c r="B6" t="n">
        <x:f>'01 Sensory Input'!B6</x:f>
        <x:v>1</x:v>
      </x:c>
      <x:c r="C6" s="12" t="n">
        <x:f>'01 Sensory Input'!C6</x:f>
        <x:v>0.47</x:v>
      </x:c>
      <x:c r="D6" s="12" t="n">
        <x:f>'01 Sensory Input'!D6</x:f>
        <x:v>0.42</x:v>
      </x:c>
      <x:c r="E6" s="12" t="n">
        <x:f>'01 Sensory Input'!E6</x:f>
        <x:v>0.33</x:v>
      </x:c>
      <x:c r="F6" s="12" t="n">
        <x:f>'01 Sensory Input'!F6</x:f>
        <x:v>0.21</x:v>
      </x:c>
      <x:c r="G6" s="12" t="n">
        <x:f>'01 Sensory Input'!G6</x:f>
        <x:v>0.27</x:v>
      </x:c>
      <x:c r="H6" t="n">
        <x:f>'02a n'!C6</x:f>
        <x:v>0</x:v>
      </x:c>
      <x:c r="I6" t="n">
        <x:f>'02a n'!D6</x:f>
        <x:v>0</x:v>
      </x:c>
      <x:c r="J6" t="n">
        <x:f>'02a n'!E6</x:f>
        <x:v>0</x:v>
      </x:c>
      <x:c r="K6" t="n">
        <x:f>'02a n'!F6</x:f>
        <x:v>0</x:v>
      </x:c>
      <x:c r="L6" t="n">
        <x:f>'02a n'!G6</x:f>
        <x:v>0</x:v>
      </x:c>
      <x:c r="M6" t="n">
        <x:f>'02b n^-1'!C6</x:f>
        <x:v>0</x:v>
      </x:c>
      <x:c r="N6" t="n">
        <x:f>'02b n^-1'!D6</x:f>
        <x:v>0</x:v>
      </x:c>
      <x:c r="O6" t="n">
        <x:f>'02b n^-1'!E6</x:f>
        <x:v>0</x:v>
      </x:c>
      <x:c r="P6" t="n">
        <x:f>'02b n^-1'!F6</x:f>
        <x:v>0</x:v>
      </x:c>
      <x:c r="Q6" t="n">
        <x:f>'02b n^-1'!G6</x:f>
        <x:v>0</x:v>
      </x:c>
      <x:c r="R6" t="n">
        <x:f>'02b n^-1'!H6</x:f>
        <x:v>0</x:v>
      </x:c>
      <x:c r="S6" s="12" t="n">
        <x:f>'02c n^-2'!C6</x:f>
        <x:v>0</x:v>
      </x:c>
      <x:c r="T6" t="n">
        <x:f>'02c n^-2'!D6</x:f>
        <x:v>0</x:v>
      </x:c>
      <x:c r="U6" t="n">
        <x:f>'05 Gate Output'!H6</x:f>
        <x:v>1</x:v>
      </x:c>
      <x:c r="V6" t="n">
        <x:f>'05 Gate Output'!I6</x:f>
        <x:v>0</x:v>
      </x:c>
      <x:c r="W6" t="n">
        <x:f>'05 Gate Output'!J6</x:f>
        <x:v>0</x:v>
      </x:c>
      <x:c r="X6" t="n">
        <x:f>'05 Gate Output'!K6</x:f>
        <x:v>0</x:v>
      </x:c>
      <x:c r="Y6" t="n">
        <x:f>'05 Gate Output'!L6</x:f>
        <x:v>0</x:v>
      </x:c>
      <x:c r="Z6" t="n">
        <x:f>'05 Gate Output'!M6</x:f>
        <x:v>0</x:v>
      </x:c>
    </x:row>
    <x:row r="7">
      <x:c r="A7" t="n">
        <x:f>'01 Sensory Input'!A7</x:f>
        <x:v>1</x:v>
      </x:c>
      <x:c r="B7" t="n">
        <x:f>'01 Sensory Input'!B7</x:f>
        <x:v>2</x:v>
      </x:c>
      <x:c r="C7" s="12" t="n">
        <x:f>'01 Sensory Input'!C7</x:f>
        <x:v>0.49</x:v>
      </x:c>
      <x:c r="D7" s="12" t="n">
        <x:f>'01 Sensory Input'!D7</x:f>
        <x:v>0.44</x:v>
      </x:c>
      <x:c r="E7" s="12" t="n">
        <x:f>'01 Sensory Input'!E7</x:f>
        <x:v>0.3</x:v>
      </x:c>
      <x:c r="F7" s="12" t="n">
        <x:f>'01 Sensory Input'!F7</x:f>
        <x:v>0.22</x:v>
      </x:c>
      <x:c r="G7" s="12" t="n">
        <x:f>'01 Sensory Input'!G7</x:f>
        <x:v>0.29</x:v>
      </x:c>
      <x:c r="H7" t="n">
        <x:f>'02a n'!C7</x:f>
        <x:v>0</x:v>
      </x:c>
      <x:c r="I7" t="n">
        <x:f>'02a n'!D7</x:f>
        <x:v>0</x:v>
      </x:c>
      <x:c r="J7" t="n">
        <x:f>'02a n'!E7</x:f>
        <x:v>0</x:v>
      </x:c>
      <x:c r="K7" t="n">
        <x:f>'02a n'!F7</x:f>
        <x:v>0</x:v>
      </x:c>
      <x:c r="L7" t="n">
        <x:f>'02a n'!G7</x:f>
        <x:v>0</x:v>
      </x:c>
      <x:c r="M7" t="n">
        <x:f>'02b n^-1'!C7</x:f>
        <x:v>0</x:v>
      </x:c>
      <x:c r="N7" t="n">
        <x:f>'02b n^-1'!D7</x:f>
        <x:v>0</x:v>
      </x:c>
      <x:c r="O7" t="n">
        <x:f>'02b n^-1'!E7</x:f>
        <x:v>0</x:v>
      </x:c>
      <x:c r="P7" t="n">
        <x:f>'02b n^-1'!F7</x:f>
        <x:v>0</x:v>
      </x:c>
      <x:c r="Q7" t="n">
        <x:f>'02b n^-1'!G7</x:f>
        <x:v>0</x:v>
      </x:c>
      <x:c r="R7" t="n">
        <x:f>'02b n^-1'!H7</x:f>
        <x:v>0</x:v>
      </x:c>
      <x:c r="S7" s="12" t="n">
        <x:f>'02c n^-2'!C7</x:f>
        <x:v>0</x:v>
      </x:c>
      <x:c r="T7" t="n">
        <x:f>'02c n^-2'!D7</x:f>
        <x:v>0</x:v>
      </x:c>
      <x:c r="U7" t="n">
        <x:f>'05 Gate Output'!H7</x:f>
        <x:v>1</x:v>
      </x:c>
      <x:c r="V7" t="n">
        <x:f>'05 Gate Output'!I7</x:f>
        <x:v>0</x:v>
      </x:c>
      <x:c r="W7" t="n">
        <x:f>'05 Gate Output'!J7</x:f>
        <x:v>0</x:v>
      </x:c>
      <x:c r="X7" t="n">
        <x:f>'05 Gate Output'!K7</x:f>
        <x:v>0</x:v>
      </x:c>
      <x:c r="Y7" t="n">
        <x:f>'05 Gate Output'!L7</x:f>
        <x:v>0</x:v>
      </x:c>
      <x:c r="Z7" t="n">
        <x:f>'05 Gate Output'!M7</x:f>
        <x:v>0</x:v>
      </x:c>
    </x:row>
    <x:row r="8">
      <x:c r="A8" t="n">
        <x:f>'01 Sensory Input'!A8</x:f>
        <x:v>1</x:v>
      </x:c>
      <x:c r="B8" t="n">
        <x:f>'01 Sensory Input'!B8</x:f>
        <x:v>3</x:v>
      </x:c>
      <x:c r="C8" s="12" t="n">
        <x:f>'01 Sensory Input'!C8</x:f>
        <x:v>0.45</x:v>
      </x:c>
      <x:c r="D8" s="12" t="n">
        <x:f>'01 Sensory Input'!D8</x:f>
        <x:v>0.46</x:v>
      </x:c>
      <x:c r="E8" s="12" t="n">
        <x:f>'01 Sensory Input'!E8</x:f>
        <x:v>0.33</x:v>
      </x:c>
      <x:c r="F8" s="12" t="n">
        <x:f>'01 Sensory Input'!F8</x:f>
        <x:v>0.23</x:v>
      </x:c>
      <x:c r="G8" s="12" t="n">
        <x:f>'01 Sensory Input'!G8</x:f>
        <x:v>0.25</x:v>
      </x:c>
      <x:c r="H8" t="n">
        <x:f>'02a n'!C8</x:f>
        <x:v>0</x:v>
      </x:c>
      <x:c r="I8" t="n">
        <x:f>'02a n'!D8</x:f>
        <x:v>0</x:v>
      </x:c>
      <x:c r="J8" t="n">
        <x:f>'02a n'!E8</x:f>
        <x:v>0</x:v>
      </x:c>
      <x:c r="K8" t="n">
        <x:f>'02a n'!F8</x:f>
        <x:v>0</x:v>
      </x:c>
      <x:c r="L8" t="n">
        <x:f>'02a n'!G8</x:f>
        <x:v>0</x:v>
      </x:c>
      <x:c r="M8" t="n">
        <x:f>'02b n^-1'!C8</x:f>
        <x:v>0</x:v>
      </x:c>
      <x:c r="N8" t="n">
        <x:f>'02b n^-1'!D8</x:f>
        <x:v>0</x:v>
      </x:c>
      <x:c r="O8" t="n">
        <x:f>'02b n^-1'!E8</x:f>
        <x:v>0</x:v>
      </x:c>
      <x:c r="P8" t="n">
        <x:f>'02b n^-1'!F8</x:f>
        <x:v>0</x:v>
      </x:c>
      <x:c r="Q8" t="n">
        <x:f>'02b n^-1'!G8</x:f>
        <x:v>0</x:v>
      </x:c>
      <x:c r="R8" t="n">
        <x:f>'02b n^-1'!H8</x:f>
        <x:v>0</x:v>
      </x:c>
      <x:c r="S8" s="12" t="n">
        <x:f>'02c n^-2'!C8</x:f>
        <x:v>0</x:v>
      </x:c>
      <x:c r="T8" t="n">
        <x:f>'02c n^-2'!D8</x:f>
        <x:v>0</x:v>
      </x:c>
      <x:c r="U8" t="n">
        <x:f>'05 Gate Output'!H8</x:f>
        <x:v>1</x:v>
      </x:c>
      <x:c r="V8" t="n">
        <x:f>'05 Gate Output'!I8</x:f>
        <x:v>0</x:v>
      </x:c>
      <x:c r="W8" t="n">
        <x:f>'05 Gate Output'!J8</x:f>
        <x:v>0</x:v>
      </x:c>
      <x:c r="X8" t="n">
        <x:f>'05 Gate Output'!K8</x:f>
        <x:v>0</x:v>
      </x:c>
      <x:c r="Y8" t="n">
        <x:f>'05 Gate Output'!L8</x:f>
        <x:v>0</x:v>
      </x:c>
      <x:c r="Z8" t="n">
        <x:f>'05 Gate Output'!M8</x:f>
        <x:v>0</x:v>
      </x:c>
    </x:row>
    <x:row r="9">
      <x:c r="A9" t="n">
        <x:f>'01 Sensory Input'!A9</x:f>
        <x:v>1</x:v>
      </x:c>
      <x:c r="B9" t="n">
        <x:f>'01 Sensory Input'!B9</x:f>
        <x:v>4</x:v>
      </x:c>
      <x:c r="C9" s="12" t="n">
        <x:f>'01 Sensory Input'!C9</x:f>
        <x:v>0.47</x:v>
      </x:c>
      <x:c r="D9" s="12" t="n">
        <x:f>'01 Sensory Input'!D9</x:f>
        <x:v>0.4</x:v>
      </x:c>
      <x:c r="E9" s="12" t="n">
        <x:f>'01 Sensory Input'!E9</x:f>
        <x:v>0.3</x:v>
      </x:c>
      <x:c r="F9" s="12" t="n">
        <x:f>'01 Sensory Input'!F9</x:f>
        <x:v>0.24</x:v>
      </x:c>
      <x:c r="G9" s="12" t="n">
        <x:f>'01 Sensory Input'!G9</x:f>
        <x:v>0.27</x:v>
      </x:c>
      <x:c r="H9" t="n">
        <x:f>'02a n'!C9</x:f>
        <x:v>0</x:v>
      </x:c>
      <x:c r="I9" t="n">
        <x:f>'02a n'!D9</x:f>
        <x:v>0</x:v>
      </x:c>
      <x:c r="J9" t="n">
        <x:f>'02a n'!E9</x:f>
        <x:v>0</x:v>
      </x:c>
      <x:c r="K9" t="n">
        <x:f>'02a n'!F9</x:f>
        <x:v>0</x:v>
      </x:c>
      <x:c r="L9" t="n">
        <x:f>'02a n'!G9</x:f>
        <x:v>0</x:v>
      </x:c>
      <x:c r="M9" t="n">
        <x:f>'02b n^-1'!C9</x:f>
        <x:v>0</x:v>
      </x:c>
      <x:c r="N9" t="n">
        <x:f>'02b n^-1'!D9</x:f>
        <x:v>0</x:v>
      </x:c>
      <x:c r="O9" t="n">
        <x:f>'02b n^-1'!E9</x:f>
        <x:v>0</x:v>
      </x:c>
      <x:c r="P9" t="n">
        <x:f>'02b n^-1'!F9</x:f>
        <x:v>0</x:v>
      </x:c>
      <x:c r="Q9" t="n">
        <x:f>'02b n^-1'!G9</x:f>
        <x:v>0</x:v>
      </x:c>
      <x:c r="R9" t="n">
        <x:f>'02b n^-1'!H9</x:f>
        <x:v>0</x:v>
      </x:c>
      <x:c r="S9" s="12" t="n">
        <x:f>'02c n^-2'!C9</x:f>
        <x:v>0</x:v>
      </x:c>
      <x:c r="T9" t="n">
        <x:f>'02c n^-2'!D9</x:f>
        <x:v>0</x:v>
      </x:c>
      <x:c r="U9" t="n">
        <x:f>'05 Gate Output'!H9</x:f>
        <x:v>1</x:v>
      </x:c>
      <x:c r="V9" t="n">
        <x:f>'05 Gate Output'!I9</x:f>
        <x:v>0</x:v>
      </x:c>
      <x:c r="W9" t="n">
        <x:f>'05 Gate Output'!J9</x:f>
        <x:v>0</x:v>
      </x:c>
      <x:c r="X9" t="n">
        <x:f>'05 Gate Output'!K9</x:f>
        <x:v>0</x:v>
      </x:c>
      <x:c r="Y9" t="n">
        <x:f>'05 Gate Output'!L9</x:f>
        <x:v>0</x:v>
      </x:c>
      <x:c r="Z9" t="n">
        <x:f>'05 Gate Output'!M9</x:f>
        <x:v>0</x:v>
      </x:c>
    </x:row>
    <x:row r="10">
      <x:c r="A10" t="n">
        <x:f>'01 Sensory Input'!A10</x:f>
        <x:v>1</x:v>
      </x:c>
      <x:c r="B10" t="n">
        <x:f>'01 Sensory Input'!B10</x:f>
        <x:v>5</x:v>
      </x:c>
      <x:c r="C10" s="12" t="n">
        <x:f>'01 Sensory Input'!C10</x:f>
        <x:v>0.49</x:v>
      </x:c>
      <x:c r="D10" s="12" t="n">
        <x:f>'01 Sensory Input'!D10</x:f>
        <x:v>0.42</x:v>
      </x:c>
      <x:c r="E10" s="12" t="n">
        <x:f>'01 Sensory Input'!E10</x:f>
        <x:v>0.33</x:v>
      </x:c>
      <x:c r="F10" s="12" t="n">
        <x:f>'01 Sensory Input'!F10</x:f>
        <x:v>0.2</x:v>
      </x:c>
      <x:c r="G10" s="12" t="n">
        <x:f>'01 Sensory Input'!G10</x:f>
        <x:v>0.29</x:v>
      </x:c>
      <x:c r="H10" t="n">
        <x:f>'02a n'!C10</x:f>
        <x:v>0</x:v>
      </x:c>
      <x:c r="I10" t="n">
        <x:f>'02a n'!D10</x:f>
        <x:v>0</x:v>
      </x:c>
      <x:c r="J10" t="n">
        <x:f>'02a n'!E10</x:f>
        <x:v>0</x:v>
      </x:c>
      <x:c r="K10" t="n">
        <x:f>'02a n'!F10</x:f>
        <x:v>0</x:v>
      </x:c>
      <x:c r="L10" t="n">
        <x:f>'02a n'!G10</x:f>
        <x:v>0</x:v>
      </x:c>
      <x:c r="M10" t="n">
        <x:f>'02b n^-1'!C10</x:f>
        <x:v>0</x:v>
      </x:c>
      <x:c r="N10" t="n">
        <x:f>'02b n^-1'!D10</x:f>
        <x:v>0</x:v>
      </x:c>
      <x:c r="O10" t="n">
        <x:f>'02b n^-1'!E10</x:f>
        <x:v>0</x:v>
      </x:c>
      <x:c r="P10" t="n">
        <x:f>'02b n^-1'!F10</x:f>
        <x:v>0</x:v>
      </x:c>
      <x:c r="Q10" t="n">
        <x:f>'02b n^-1'!G10</x:f>
        <x:v>0</x:v>
      </x:c>
      <x:c r="R10" t="n">
        <x:f>'02b n^-1'!H10</x:f>
        <x:v>0</x:v>
      </x:c>
      <x:c r="S10" s="12" t="n">
        <x:f>'02c n^-2'!C10</x:f>
        <x:v>0</x:v>
      </x:c>
      <x:c r="T10" t="n">
        <x:f>'02c n^-2'!D10</x:f>
        <x:v>0</x:v>
      </x:c>
      <x:c r="U10" t="n">
        <x:f>'05 Gate Output'!H10</x:f>
        <x:v>1</x:v>
      </x:c>
      <x:c r="V10" t="n">
        <x:f>'05 Gate Output'!I10</x:f>
        <x:v>0</x:v>
      </x:c>
      <x:c r="W10" t="n">
        <x:f>'05 Gate Output'!J10</x:f>
        <x:v>0</x:v>
      </x:c>
      <x:c r="X10" t="n">
        <x:f>'05 Gate Output'!K10</x:f>
        <x:v>0</x:v>
      </x:c>
      <x:c r="Y10" t="n">
        <x:f>'05 Gate Output'!L10</x:f>
        <x:v>0</x:v>
      </x:c>
      <x:c r="Z10" t="n">
        <x:f>'05 Gate Output'!M10</x:f>
        <x:v>0</x:v>
      </x:c>
    </x:row>
    <x:row r="11">
      <x:c r="A11" t="n">
        <x:f>'01 Sensory Input'!A11</x:f>
        <x:v>1</x:v>
      </x:c>
      <x:c r="B11" t="n">
        <x:f>'01 Sensory Input'!B11</x:f>
        <x:v>6</x:v>
      </x:c>
      <x:c r="C11" s="12" t="n">
        <x:f>'01 Sensory Input'!C11</x:f>
        <x:v>0.45</x:v>
      </x:c>
      <x:c r="D11" s="12" t="n">
        <x:f>'01 Sensory Input'!D11</x:f>
        <x:v>0.44</x:v>
      </x:c>
      <x:c r="E11" s="12" t="n">
        <x:f>'01 Sensory Input'!E11</x:f>
        <x:v>0.3</x:v>
      </x:c>
      <x:c r="F11" s="12" t="n">
        <x:f>'01 Sensory Input'!F11</x:f>
        <x:v>0.21</x:v>
      </x:c>
      <x:c r="G11" s="12" t="n">
        <x:f>'01 Sensory Input'!G11</x:f>
        <x:v>0.25</x:v>
      </x:c>
      <x:c r="H11" t="n">
        <x:f>'02a n'!C11</x:f>
        <x:v>0</x:v>
      </x:c>
      <x:c r="I11" t="n">
        <x:f>'02a n'!D11</x:f>
        <x:v>0</x:v>
      </x:c>
      <x:c r="J11" t="n">
        <x:f>'02a n'!E11</x:f>
        <x:v>0</x:v>
      </x:c>
      <x:c r="K11" t="n">
        <x:f>'02a n'!F11</x:f>
        <x:v>0</x:v>
      </x:c>
      <x:c r="L11" t="n">
        <x:f>'02a n'!G11</x:f>
        <x:v>0</x:v>
      </x:c>
      <x:c r="M11" t="n">
        <x:f>'02b n^-1'!C11</x:f>
        <x:v>0</x:v>
      </x:c>
      <x:c r="N11" t="n">
        <x:f>'02b n^-1'!D11</x:f>
        <x:v>0</x:v>
      </x:c>
      <x:c r="O11" t="n">
        <x:f>'02b n^-1'!E11</x:f>
        <x:v>0</x:v>
      </x:c>
      <x:c r="P11" t="n">
        <x:f>'02b n^-1'!F11</x:f>
        <x:v>0</x:v>
      </x:c>
      <x:c r="Q11" t="n">
        <x:f>'02b n^-1'!G11</x:f>
        <x:v>0</x:v>
      </x:c>
      <x:c r="R11" t="n">
        <x:f>'02b n^-1'!H11</x:f>
        <x:v>0</x:v>
      </x:c>
      <x:c r="S11" s="12" t="n">
        <x:f>'02c n^-2'!C11</x:f>
        <x:v>0</x:v>
      </x:c>
      <x:c r="T11" t="n">
        <x:f>'02c n^-2'!D11</x:f>
        <x:v>0</x:v>
      </x:c>
      <x:c r="U11" t="n">
        <x:f>'05 Gate Output'!H11</x:f>
        <x:v>1</x:v>
      </x:c>
      <x:c r="V11" t="n">
        <x:f>'05 Gate Output'!I11</x:f>
        <x:v>0</x:v>
      </x:c>
      <x:c r="W11" t="n">
        <x:f>'05 Gate Output'!J11</x:f>
        <x:v>0</x:v>
      </x:c>
      <x:c r="X11" t="n">
        <x:f>'05 Gate Output'!K11</x:f>
        <x:v>0</x:v>
      </x:c>
      <x:c r="Y11" t="n">
        <x:f>'05 Gate Output'!L11</x:f>
        <x:v>0</x:v>
      </x:c>
      <x:c r="Z11" t="n">
        <x:f>'05 Gate Output'!M11</x:f>
        <x:v>0</x:v>
      </x:c>
    </x:row>
    <x:row r="12">
      <x:c r="A12" t="n">
        <x:f>'01 Sensory Input'!A12</x:f>
        <x:v>1</x:v>
      </x:c>
      <x:c r="B12" t="n">
        <x:f>'01 Sensory Input'!B12</x:f>
        <x:v>7</x:v>
      </x:c>
      <x:c r="C12" s="12" t="n">
        <x:f>'01 Sensory Input'!C12</x:f>
        <x:v>0.47</x:v>
      </x:c>
      <x:c r="D12" s="12" t="n">
        <x:f>'01 Sensory Input'!D12</x:f>
        <x:v>0.46</x:v>
      </x:c>
      <x:c r="E12" s="12" t="n">
        <x:f>'01 Sensory Input'!E12</x:f>
        <x:v>0.33</x:v>
      </x:c>
      <x:c r="F12" s="12" t="n">
        <x:f>'01 Sensory Input'!F12</x:f>
        <x:v>0.22</x:v>
      </x:c>
      <x:c r="G12" s="12" t="n">
        <x:f>'01 Sensory Input'!G12</x:f>
        <x:v>0.27</x:v>
      </x:c>
      <x:c r="H12" t="n">
        <x:f>'02a n'!C12</x:f>
        <x:v>0</x:v>
      </x:c>
      <x:c r="I12" t="n">
        <x:f>'02a n'!D12</x:f>
        <x:v>0</x:v>
      </x:c>
      <x:c r="J12" t="n">
        <x:f>'02a n'!E12</x:f>
        <x:v>0</x:v>
      </x:c>
      <x:c r="K12" t="n">
        <x:f>'02a n'!F12</x:f>
        <x:v>0</x:v>
      </x:c>
      <x:c r="L12" t="n">
        <x:f>'02a n'!G12</x:f>
        <x:v>0</x:v>
      </x:c>
      <x:c r="M12" t="n">
        <x:f>'02b n^-1'!C12</x:f>
        <x:v>0</x:v>
      </x:c>
      <x:c r="N12" t="n">
        <x:f>'02b n^-1'!D12</x:f>
        <x:v>0</x:v>
      </x:c>
      <x:c r="O12" t="n">
        <x:f>'02b n^-1'!E12</x:f>
        <x:v>0</x:v>
      </x:c>
      <x:c r="P12" t="n">
        <x:f>'02b n^-1'!F12</x:f>
        <x:v>0</x:v>
      </x:c>
      <x:c r="Q12" t="n">
        <x:f>'02b n^-1'!G12</x:f>
        <x:v>0</x:v>
      </x:c>
      <x:c r="R12" t="n">
        <x:f>'02b n^-1'!H12</x:f>
        <x:v>0</x:v>
      </x:c>
      <x:c r="S12" s="12" t="n">
        <x:f>'02c n^-2'!C12</x:f>
        <x:v>0</x:v>
      </x:c>
      <x:c r="T12" t="n">
        <x:f>'02c n^-2'!D12</x:f>
        <x:v>0</x:v>
      </x:c>
      <x:c r="U12" t="n">
        <x:f>'05 Gate Output'!H12</x:f>
        <x:v>1</x:v>
      </x:c>
      <x:c r="V12" t="n">
        <x:f>'05 Gate Output'!I12</x:f>
        <x:v>0</x:v>
      </x:c>
      <x:c r="W12" t="n">
        <x:f>'05 Gate Output'!J12</x:f>
        <x:v>0</x:v>
      </x:c>
      <x:c r="X12" t="n">
        <x:f>'05 Gate Output'!K12</x:f>
        <x:v>0</x:v>
      </x:c>
      <x:c r="Y12" t="n">
        <x:f>'05 Gate Output'!L12</x:f>
        <x:v>0</x:v>
      </x:c>
      <x:c r="Z12" t="n">
        <x:f>'05 Gate Output'!M12</x:f>
        <x:v>0</x:v>
      </x:c>
    </x:row>
    <x:row r="13">
      <x:c r="A13" t="n">
        <x:f>'01 Sensory Input'!A13</x:f>
        <x:v>1</x:v>
      </x:c>
      <x:c r="B13" t="n">
        <x:f>'01 Sensory Input'!B13</x:f>
        <x:v>8</x:v>
      </x:c>
      <x:c r="C13" s="12" t="n">
        <x:f>'01 Sensory Input'!C13</x:f>
        <x:v>0.49</x:v>
      </x:c>
      <x:c r="D13" s="12" t="n">
        <x:f>'01 Sensory Input'!D13</x:f>
        <x:v>0.4</x:v>
      </x:c>
      <x:c r="E13" s="12" t="n">
        <x:f>'01 Sensory Input'!E13</x:f>
        <x:v>0.3</x:v>
      </x:c>
      <x:c r="F13" s="12" t="n">
        <x:f>'01 Sensory Input'!F13</x:f>
        <x:v>0.23</x:v>
      </x:c>
      <x:c r="G13" s="12" t="n">
        <x:f>'01 Sensory Input'!G13</x:f>
        <x:v>0.29</x:v>
      </x:c>
      <x:c r="H13" t="n">
        <x:f>'02a n'!C13</x:f>
        <x:v>0</x:v>
      </x:c>
      <x:c r="I13" t="n">
        <x:f>'02a n'!D13</x:f>
        <x:v>0</x:v>
      </x:c>
      <x:c r="J13" t="n">
        <x:f>'02a n'!E13</x:f>
        <x:v>0</x:v>
      </x:c>
      <x:c r="K13" t="n">
        <x:f>'02a n'!F13</x:f>
        <x:v>0</x:v>
      </x:c>
      <x:c r="L13" t="n">
        <x:f>'02a n'!G13</x:f>
        <x:v>0</x:v>
      </x:c>
      <x:c r="M13" t="n">
        <x:f>'02b n^-1'!C13</x:f>
        <x:v>0</x:v>
      </x:c>
      <x:c r="N13" t="n">
        <x:f>'02b n^-1'!D13</x:f>
        <x:v>0</x:v>
      </x:c>
      <x:c r="O13" t="n">
        <x:f>'02b n^-1'!E13</x:f>
        <x:v>0</x:v>
      </x:c>
      <x:c r="P13" t="n">
        <x:f>'02b n^-1'!F13</x:f>
        <x:v>0</x:v>
      </x:c>
      <x:c r="Q13" t="n">
        <x:f>'02b n^-1'!G13</x:f>
        <x:v>0</x:v>
      </x:c>
      <x:c r="R13" t="n">
        <x:f>'02b n^-1'!H13</x:f>
        <x:v>0</x:v>
      </x:c>
      <x:c r="S13" s="12" t="n">
        <x:f>'02c n^-2'!C13</x:f>
        <x:v>0</x:v>
      </x:c>
      <x:c r="T13" t="n">
        <x:f>'02c n^-2'!D13</x:f>
        <x:v>0</x:v>
      </x:c>
      <x:c r="U13" t="n">
        <x:f>'05 Gate Output'!H13</x:f>
        <x:v>1</x:v>
      </x:c>
      <x:c r="V13" t="n">
        <x:f>'05 Gate Output'!I13</x:f>
        <x:v>0</x:v>
      </x:c>
      <x:c r="W13" t="n">
        <x:f>'05 Gate Output'!J13</x:f>
        <x:v>0</x:v>
      </x:c>
      <x:c r="X13" t="n">
        <x:f>'05 Gate Output'!K13</x:f>
        <x:v>0</x:v>
      </x:c>
      <x:c r="Y13" t="n">
        <x:f>'05 Gate Output'!L13</x:f>
        <x:v>0</x:v>
      </x:c>
      <x:c r="Z13" t="n">
        <x:f>'05 Gate Output'!M13</x:f>
        <x:v>0</x:v>
      </x:c>
    </x:row>
    <x:row r="14">
      <x:c r="A14" t="n">
        <x:f>'01 Sensory Input'!A14</x:f>
        <x:v>1</x:v>
      </x:c>
      <x:c r="B14" t="n">
        <x:f>'01 Sensory Input'!B14</x:f>
        <x:v>9</x:v>
      </x:c>
      <x:c r="C14" s="12" t="n">
        <x:f>'01 Sensory Input'!C14</x:f>
        <x:v>0.45</x:v>
      </x:c>
      <x:c r="D14" s="12" t="n">
        <x:f>'01 Sensory Input'!D14</x:f>
        <x:v>0.42</x:v>
      </x:c>
      <x:c r="E14" s="12" t="n">
        <x:f>'01 Sensory Input'!E14</x:f>
        <x:v>0.33</x:v>
      </x:c>
      <x:c r="F14" s="12" t="n">
        <x:f>'01 Sensory Input'!F14</x:f>
        <x:v>0.24</x:v>
      </x:c>
      <x:c r="G14" s="12" t="n">
        <x:f>'01 Sensory Input'!G14</x:f>
        <x:v>0.25</x:v>
      </x:c>
      <x:c r="H14" t="n">
        <x:f>'02a n'!C14</x:f>
        <x:v>0</x:v>
      </x:c>
      <x:c r="I14" t="n">
        <x:f>'02a n'!D14</x:f>
        <x:v>0</x:v>
      </x:c>
      <x:c r="J14" t="n">
        <x:f>'02a n'!E14</x:f>
        <x:v>0</x:v>
      </x:c>
      <x:c r="K14" t="n">
        <x:f>'02a n'!F14</x:f>
        <x:v>0</x:v>
      </x:c>
      <x:c r="L14" t="n">
        <x:f>'02a n'!G14</x:f>
        <x:v>0</x:v>
      </x:c>
      <x:c r="M14" t="n">
        <x:f>'02b n^-1'!C14</x:f>
        <x:v>0</x:v>
      </x:c>
      <x:c r="N14" t="n">
        <x:f>'02b n^-1'!D14</x:f>
        <x:v>0</x:v>
      </x:c>
      <x:c r="O14" t="n">
        <x:f>'02b n^-1'!E14</x:f>
        <x:v>0</x:v>
      </x:c>
      <x:c r="P14" t="n">
        <x:f>'02b n^-1'!F14</x:f>
        <x:v>0</x:v>
      </x:c>
      <x:c r="Q14" t="n">
        <x:f>'02b n^-1'!G14</x:f>
        <x:v>0</x:v>
      </x:c>
      <x:c r="R14" t="n">
        <x:f>'02b n^-1'!H14</x:f>
        <x:v>0</x:v>
      </x:c>
      <x:c r="S14" s="12" t="n">
        <x:f>'02c n^-2'!C14</x:f>
        <x:v>0</x:v>
      </x:c>
      <x:c r="T14" t="n">
        <x:f>'02c n^-2'!D14</x:f>
        <x:v>0</x:v>
      </x:c>
      <x:c r="U14" t="n">
        <x:f>'05 Gate Output'!H14</x:f>
        <x:v>1</x:v>
      </x:c>
      <x:c r="V14" t="n">
        <x:f>'05 Gate Output'!I14</x:f>
        <x:v>0</x:v>
      </x:c>
      <x:c r="W14" t="n">
        <x:f>'05 Gate Output'!J14</x:f>
        <x:v>0</x:v>
      </x:c>
      <x:c r="X14" t="n">
        <x:f>'05 Gate Output'!K14</x:f>
        <x:v>0</x:v>
      </x:c>
      <x:c r="Y14" t="n">
        <x:f>'05 Gate Output'!L14</x:f>
        <x:v>0</x:v>
      </x:c>
      <x:c r="Z14" t="n">
        <x:f>'05 Gate Output'!M14</x:f>
        <x:v>0</x:v>
      </x:c>
    </x:row>
    <x:row r="15">
      <x:c r="A15" t="n">
        <x:f>'01 Sensory Input'!A15</x:f>
        <x:v>1</x:v>
      </x:c>
      <x:c r="B15" t="n">
        <x:f>'01 Sensory Input'!B15</x:f>
        <x:v>10</x:v>
      </x:c>
      <x:c r="C15" s="12" t="n">
        <x:f>'01 Sensory Input'!C15</x:f>
        <x:v>0.47</x:v>
      </x:c>
      <x:c r="D15" s="12" t="n">
        <x:f>'01 Sensory Input'!D15</x:f>
        <x:v>0.44</x:v>
      </x:c>
      <x:c r="E15" s="12" t="n">
        <x:f>'01 Sensory Input'!E15</x:f>
        <x:v>0.3</x:v>
      </x:c>
      <x:c r="F15" s="12" t="n">
        <x:f>'01 Sensory Input'!F15</x:f>
        <x:v>0.2</x:v>
      </x:c>
      <x:c r="G15" s="12" t="n">
        <x:f>'01 Sensory Input'!G15</x:f>
        <x:v>0.27</x:v>
      </x:c>
      <x:c r="H15" t="n">
        <x:f>'02a n'!C15</x:f>
        <x:v>0</x:v>
      </x:c>
      <x:c r="I15" t="n">
        <x:f>'02a n'!D15</x:f>
        <x:v>0</x:v>
      </x:c>
      <x:c r="J15" t="n">
        <x:f>'02a n'!E15</x:f>
        <x:v>0</x:v>
      </x:c>
      <x:c r="K15" t="n">
        <x:f>'02a n'!F15</x:f>
        <x:v>0</x:v>
      </x:c>
      <x:c r="L15" t="n">
        <x:f>'02a n'!G15</x:f>
        <x:v>0</x:v>
      </x:c>
      <x:c r="M15" t="n">
        <x:f>'02b n^-1'!C15</x:f>
        <x:v>0</x:v>
      </x:c>
      <x:c r="N15" t="n">
        <x:f>'02b n^-1'!D15</x:f>
        <x:v>0</x:v>
      </x:c>
      <x:c r="O15" t="n">
        <x:f>'02b n^-1'!E15</x:f>
        <x:v>0</x:v>
      </x:c>
      <x:c r="P15" t="n">
        <x:f>'02b n^-1'!F15</x:f>
        <x:v>0</x:v>
      </x:c>
      <x:c r="Q15" t="n">
        <x:f>'02b n^-1'!G15</x:f>
        <x:v>0</x:v>
      </x:c>
      <x:c r="R15" t="n">
        <x:f>'02b n^-1'!H15</x:f>
        <x:v>0</x:v>
      </x:c>
      <x:c r="S15" s="12" t="n">
        <x:f>'02c n^-2'!C15</x:f>
        <x:v>0</x:v>
      </x:c>
      <x:c r="T15" t="n">
        <x:f>'02c n^-2'!D15</x:f>
        <x:v>0</x:v>
      </x:c>
      <x:c r="U15" t="n">
        <x:f>'05 Gate Output'!H15</x:f>
        <x:v>1</x:v>
      </x:c>
      <x:c r="V15" t="n">
        <x:f>'05 Gate Output'!I15</x:f>
        <x:v>0</x:v>
      </x:c>
      <x:c r="W15" t="n">
        <x:f>'05 Gate Output'!J15</x:f>
        <x:v>0</x:v>
      </x:c>
      <x:c r="X15" t="n">
        <x:f>'05 Gate Output'!K15</x:f>
        <x:v>0</x:v>
      </x:c>
      <x:c r="Y15" t="n">
        <x:f>'05 Gate Output'!L15</x:f>
        <x:v>0</x:v>
      </x:c>
      <x:c r="Z15" t="n">
        <x:f>'05 Gate Output'!M15</x:f>
        <x:v>0</x:v>
      </x:c>
    </x:row>
    <x:row r="16">
      <x:c r="A16" t="n">
        <x:f>'01 Sensory Input'!A16</x:f>
        <x:v>1</x:v>
      </x:c>
      <x:c r="B16" t="n">
        <x:f>'01 Sensory Input'!B16</x:f>
        <x:v>11</x:v>
      </x:c>
      <x:c r="C16" s="12" t="n">
        <x:f>'01 Sensory Input'!C16</x:f>
        <x:v>0.49</x:v>
      </x:c>
      <x:c r="D16" s="12" t="n">
        <x:f>'01 Sensory Input'!D16</x:f>
        <x:v>0.46</x:v>
      </x:c>
      <x:c r="E16" s="12" t="n">
        <x:f>'01 Sensory Input'!E16</x:f>
        <x:v>0.33</x:v>
      </x:c>
      <x:c r="F16" s="12" t="n">
        <x:f>'01 Sensory Input'!F16</x:f>
        <x:v>0.21</x:v>
      </x:c>
      <x:c r="G16" s="12" t="n">
        <x:f>'01 Sensory Input'!G16</x:f>
        <x:v>0.29</x:v>
      </x:c>
      <x:c r="H16" t="n">
        <x:f>'02a n'!C16</x:f>
        <x:v>0</x:v>
      </x:c>
      <x:c r="I16" t="n">
        <x:f>'02a n'!D16</x:f>
        <x:v>0</x:v>
      </x:c>
      <x:c r="J16" t="n">
        <x:f>'02a n'!E16</x:f>
        <x:v>0</x:v>
      </x:c>
      <x:c r="K16" t="n">
        <x:f>'02a n'!F16</x:f>
        <x:v>0</x:v>
      </x:c>
      <x:c r="L16" t="n">
        <x:f>'02a n'!G16</x:f>
        <x:v>0</x:v>
      </x:c>
      <x:c r="M16" t="n">
        <x:f>'02b n^-1'!C16</x:f>
        <x:v>0</x:v>
      </x:c>
      <x:c r="N16" t="n">
        <x:f>'02b n^-1'!D16</x:f>
        <x:v>0</x:v>
      </x:c>
      <x:c r="O16" t="n">
        <x:f>'02b n^-1'!E16</x:f>
        <x:v>0</x:v>
      </x:c>
      <x:c r="P16" t="n">
        <x:f>'02b n^-1'!F16</x:f>
        <x:v>0</x:v>
      </x:c>
      <x:c r="Q16" t="n">
        <x:f>'02b n^-1'!G16</x:f>
        <x:v>0</x:v>
      </x:c>
      <x:c r="R16" t="n">
        <x:f>'02b n^-1'!H16</x:f>
        <x:v>0</x:v>
      </x:c>
      <x:c r="S16" s="12" t="n">
        <x:f>'02c n^-2'!C16</x:f>
        <x:v>0</x:v>
      </x:c>
      <x:c r="T16" t="n">
        <x:f>'02c n^-2'!D16</x:f>
        <x:v>0</x:v>
      </x:c>
      <x:c r="U16" t="n">
        <x:f>'05 Gate Output'!H16</x:f>
        <x:v>1</x:v>
      </x:c>
      <x:c r="V16" t="n">
        <x:f>'05 Gate Output'!I16</x:f>
        <x:v>0</x:v>
      </x:c>
      <x:c r="W16" t="n">
        <x:f>'05 Gate Output'!J16</x:f>
        <x:v>0</x:v>
      </x:c>
      <x:c r="X16" t="n">
        <x:f>'05 Gate Output'!K16</x:f>
        <x:v>0</x:v>
      </x:c>
      <x:c r="Y16" t="n">
        <x:f>'05 Gate Output'!L16</x:f>
        <x:v>0</x:v>
      </x:c>
      <x:c r="Z16" t="n">
        <x:f>'05 Gate Output'!M16</x:f>
        <x:v>0</x:v>
      </x:c>
    </x:row>
    <x:row r="17">
      <x:c r="A17" t="n">
        <x:f>'01 Sensory Input'!A17</x:f>
        <x:v>1</x:v>
      </x:c>
      <x:c r="B17" t="n">
        <x:f>'01 Sensory Input'!B17</x:f>
        <x:v>12</x:v>
      </x:c>
      <x:c r="C17" s="12" t="n">
        <x:f>'01 Sensory Input'!C17</x:f>
        <x:v>0.45</x:v>
      </x:c>
      <x:c r="D17" s="12" t="n">
        <x:f>'01 Sensory Input'!D17</x:f>
        <x:v>0.4</x:v>
      </x:c>
      <x:c r="E17" s="12" t="n">
        <x:f>'01 Sensory Input'!E17</x:f>
        <x:v>0.3</x:v>
      </x:c>
      <x:c r="F17" s="12" t="n">
        <x:f>'01 Sensory Input'!F17</x:f>
        <x:v>0.22</x:v>
      </x:c>
      <x:c r="G17" s="12" t="n">
        <x:f>'01 Sensory Input'!G17</x:f>
        <x:v>0.25</x:v>
      </x:c>
      <x:c r="H17" t="n">
        <x:f>'02a n'!C17</x:f>
        <x:v>0</x:v>
      </x:c>
      <x:c r="I17" t="n">
        <x:f>'02a n'!D17</x:f>
        <x:v>0</x:v>
      </x:c>
      <x:c r="J17" t="n">
        <x:f>'02a n'!E17</x:f>
        <x:v>0</x:v>
      </x:c>
      <x:c r="K17" t="n">
        <x:f>'02a n'!F17</x:f>
        <x:v>0</x:v>
      </x:c>
      <x:c r="L17" t="n">
        <x:f>'02a n'!G17</x:f>
        <x:v>0</x:v>
      </x:c>
      <x:c r="M17" t="n">
        <x:f>'02b n^-1'!C17</x:f>
        <x:v>0</x:v>
      </x:c>
      <x:c r="N17" t="n">
        <x:f>'02b n^-1'!D17</x:f>
        <x:v>0</x:v>
      </x:c>
      <x:c r="O17" t="n">
        <x:f>'02b n^-1'!E17</x:f>
        <x:v>0</x:v>
      </x:c>
      <x:c r="P17" t="n">
        <x:f>'02b n^-1'!F17</x:f>
        <x:v>0</x:v>
      </x:c>
      <x:c r="Q17" t="n">
        <x:f>'02b n^-1'!G17</x:f>
        <x:v>0</x:v>
      </x:c>
      <x:c r="R17" t="n">
        <x:f>'02b n^-1'!H17</x:f>
        <x:v>0</x:v>
      </x:c>
      <x:c r="S17" s="12" t="n">
        <x:f>'02c n^-2'!C17</x:f>
        <x:v>0</x:v>
      </x:c>
      <x:c r="T17" t="n">
        <x:f>'02c n^-2'!D17</x:f>
        <x:v>0</x:v>
      </x:c>
      <x:c r="U17" t="n">
        <x:f>'05 Gate Output'!H17</x:f>
        <x:v>1</x:v>
      </x:c>
      <x:c r="V17" t="n">
        <x:f>'05 Gate Output'!I17</x:f>
        <x:v>0</x:v>
      </x:c>
      <x:c r="W17" t="n">
        <x:f>'05 Gate Output'!J17</x:f>
        <x:v>0</x:v>
      </x:c>
      <x:c r="X17" t="n">
        <x:f>'05 Gate Output'!K17</x:f>
        <x:v>0</x:v>
      </x:c>
      <x:c r="Y17" t="n">
        <x:f>'05 Gate Output'!L17</x:f>
        <x:v>0</x:v>
      </x:c>
      <x:c r="Z17" t="n">
        <x:f>'05 Gate Output'!M17</x:f>
        <x:v>0</x:v>
      </x:c>
    </x:row>
    <x:row r="18">
      <x:c r="A18" t="n">
        <x:f>'01 Sensory Input'!A18</x:f>
        <x:v>1</x:v>
      </x:c>
      <x:c r="B18" t="n">
        <x:f>'01 Sensory Input'!B18</x:f>
        <x:v>13</x:v>
      </x:c>
      <x:c r="C18" s="12" t="n">
        <x:f>'01 Sensory Input'!C18</x:f>
        <x:v>0.47</x:v>
      </x:c>
      <x:c r="D18" s="12" t="n">
        <x:f>'01 Sensory Input'!D18</x:f>
        <x:v>0.42</x:v>
      </x:c>
      <x:c r="E18" s="12" t="n">
        <x:f>'01 Sensory Input'!E18</x:f>
        <x:v>0.33</x:v>
      </x:c>
      <x:c r="F18" s="12" t="n">
        <x:f>'01 Sensory Input'!F18</x:f>
        <x:v>0.23</x:v>
      </x:c>
      <x:c r="G18" s="12" t="n">
        <x:f>'01 Sensory Input'!G18</x:f>
        <x:v>0.27</x:v>
      </x:c>
      <x:c r="H18" t="n">
        <x:f>'02a n'!C18</x:f>
        <x:v>0</x:v>
      </x:c>
      <x:c r="I18" t="n">
        <x:f>'02a n'!D18</x:f>
        <x:v>0</x:v>
      </x:c>
      <x:c r="J18" t="n">
        <x:f>'02a n'!E18</x:f>
        <x:v>0</x:v>
      </x:c>
      <x:c r="K18" t="n">
        <x:f>'02a n'!F18</x:f>
        <x:v>0</x:v>
      </x:c>
      <x:c r="L18" t="n">
        <x:f>'02a n'!G18</x:f>
        <x:v>0</x:v>
      </x:c>
      <x:c r="M18" t="n">
        <x:f>'02b n^-1'!C18</x:f>
        <x:v>0</x:v>
      </x:c>
      <x:c r="N18" t="n">
        <x:f>'02b n^-1'!D18</x:f>
        <x:v>0</x:v>
      </x:c>
      <x:c r="O18" t="n">
        <x:f>'02b n^-1'!E18</x:f>
        <x:v>0</x:v>
      </x:c>
      <x:c r="P18" t="n">
        <x:f>'02b n^-1'!F18</x:f>
        <x:v>0</x:v>
      </x:c>
      <x:c r="Q18" t="n">
        <x:f>'02b n^-1'!G18</x:f>
        <x:v>0</x:v>
      </x:c>
      <x:c r="R18" t="n">
        <x:f>'02b n^-1'!H18</x:f>
        <x:v>0</x:v>
      </x:c>
      <x:c r="S18" s="12" t="n">
        <x:f>'02c n^-2'!C18</x:f>
        <x:v>0</x:v>
      </x:c>
      <x:c r="T18" t="n">
        <x:f>'02c n^-2'!D18</x:f>
        <x:v>0</x:v>
      </x:c>
      <x:c r="U18" t="n">
        <x:f>'05 Gate Output'!H18</x:f>
        <x:v>1</x:v>
      </x:c>
      <x:c r="V18" t="n">
        <x:f>'05 Gate Output'!I18</x:f>
        <x:v>0</x:v>
      </x:c>
      <x:c r="W18" t="n">
        <x:f>'05 Gate Output'!J18</x:f>
        <x:v>0</x:v>
      </x:c>
      <x:c r="X18" t="n">
        <x:f>'05 Gate Output'!K18</x:f>
        <x:v>0</x:v>
      </x:c>
      <x:c r="Y18" t="n">
        <x:f>'05 Gate Output'!L18</x:f>
        <x:v>0</x:v>
      </x:c>
      <x:c r="Z18" t="n">
        <x:f>'05 Gate Output'!M18</x:f>
        <x:v>0</x:v>
      </x:c>
    </x:row>
    <x:row r="19">
      <x:c r="A19" t="n">
        <x:f>'01 Sensory Input'!A19</x:f>
        <x:v>1</x:v>
      </x:c>
      <x:c r="B19" t="n">
        <x:f>'01 Sensory Input'!B19</x:f>
        <x:v>14</x:v>
      </x:c>
      <x:c r="C19" s="12" t="n">
        <x:f>'01 Sensory Input'!C19</x:f>
        <x:v>0.49</x:v>
      </x:c>
      <x:c r="D19" s="12" t="n">
        <x:f>'01 Sensory Input'!D19</x:f>
        <x:v>0.44</x:v>
      </x:c>
      <x:c r="E19" s="12" t="n">
        <x:f>'01 Sensory Input'!E19</x:f>
        <x:v>0.3</x:v>
      </x:c>
      <x:c r="F19" s="12" t="n">
        <x:f>'01 Sensory Input'!F19</x:f>
        <x:v>0.24</x:v>
      </x:c>
      <x:c r="G19" s="12" t="n">
        <x:f>'01 Sensory Input'!G19</x:f>
        <x:v>0.29</x:v>
      </x:c>
      <x:c r="H19" t="n">
        <x:f>'02a n'!C19</x:f>
        <x:v>0</x:v>
      </x:c>
      <x:c r="I19" t="n">
        <x:f>'02a n'!D19</x:f>
        <x:v>0</x:v>
      </x:c>
      <x:c r="J19" t="n">
        <x:f>'02a n'!E19</x:f>
        <x:v>0</x:v>
      </x:c>
      <x:c r="K19" t="n">
        <x:f>'02a n'!F19</x:f>
        <x:v>0</x:v>
      </x:c>
      <x:c r="L19" t="n">
        <x:f>'02a n'!G19</x:f>
        <x:v>0</x:v>
      </x:c>
      <x:c r="M19" t="n">
        <x:f>'02b n^-1'!C19</x:f>
        <x:v>0</x:v>
      </x:c>
      <x:c r="N19" t="n">
        <x:f>'02b n^-1'!D19</x:f>
        <x:v>0</x:v>
      </x:c>
      <x:c r="O19" t="n">
        <x:f>'02b n^-1'!E19</x:f>
        <x:v>0</x:v>
      </x:c>
      <x:c r="P19" t="n">
        <x:f>'02b n^-1'!F19</x:f>
        <x:v>0</x:v>
      </x:c>
      <x:c r="Q19" t="n">
        <x:f>'02b n^-1'!G19</x:f>
        <x:v>0</x:v>
      </x:c>
      <x:c r="R19" t="n">
        <x:f>'02b n^-1'!H19</x:f>
        <x:v>0</x:v>
      </x:c>
      <x:c r="S19" s="12" t="n">
        <x:f>'02c n^-2'!C19</x:f>
        <x:v>0</x:v>
      </x:c>
      <x:c r="T19" t="n">
        <x:f>'02c n^-2'!D19</x:f>
        <x:v>0</x:v>
      </x:c>
      <x:c r="U19" t="n">
        <x:f>'05 Gate Output'!H19</x:f>
        <x:v>1</x:v>
      </x:c>
      <x:c r="V19" t="n">
        <x:f>'05 Gate Output'!I19</x:f>
        <x:v>0</x:v>
      </x:c>
      <x:c r="W19" t="n">
        <x:f>'05 Gate Output'!J19</x:f>
        <x:v>0</x:v>
      </x:c>
      <x:c r="X19" t="n">
        <x:f>'05 Gate Output'!K19</x:f>
        <x:v>0</x:v>
      </x:c>
      <x:c r="Y19" t="n">
        <x:f>'05 Gate Output'!L19</x:f>
        <x:v>0</x:v>
      </x:c>
      <x:c r="Z19" t="n">
        <x:f>'05 Gate Output'!M19</x:f>
        <x:v>0</x:v>
      </x:c>
    </x:row>
    <x:row r="20">
      <x:c r="A20" t="n">
        <x:f>'01 Sensory Input'!A20</x:f>
        <x:v>1</x:v>
      </x:c>
      <x:c r="B20" t="n">
        <x:f>'01 Sensory Input'!B20</x:f>
        <x:v>15</x:v>
      </x:c>
      <x:c r="C20" s="12" t="n">
        <x:f>'01 Sensory Input'!C20</x:f>
        <x:v>0.45</x:v>
      </x:c>
      <x:c r="D20" s="12" t="n">
        <x:f>'01 Sensory Input'!D20</x:f>
        <x:v>0.46</x:v>
      </x:c>
      <x:c r="E20" s="12" t="n">
        <x:f>'01 Sensory Input'!E20</x:f>
        <x:v>0.33</x:v>
      </x:c>
      <x:c r="F20" s="12" t="n">
        <x:f>'01 Sensory Input'!F20</x:f>
        <x:v>0.2</x:v>
      </x:c>
      <x:c r="G20" s="12" t="n">
        <x:f>'01 Sensory Input'!G20</x:f>
        <x:v>0.25</x:v>
      </x:c>
      <x:c r="H20" t="n">
        <x:f>'02a n'!C20</x:f>
        <x:v>0</x:v>
      </x:c>
      <x:c r="I20" t="n">
        <x:f>'02a n'!D20</x:f>
        <x:v>0</x:v>
      </x:c>
      <x:c r="J20" t="n">
        <x:f>'02a n'!E20</x:f>
        <x:v>0</x:v>
      </x:c>
      <x:c r="K20" t="n">
        <x:f>'02a n'!F20</x:f>
        <x:v>0</x:v>
      </x:c>
      <x:c r="L20" t="n">
        <x:f>'02a n'!G20</x:f>
        <x:v>0</x:v>
      </x:c>
      <x:c r="M20" t="n">
        <x:f>'02b n^-1'!C20</x:f>
        <x:v>0</x:v>
      </x:c>
      <x:c r="N20" t="n">
        <x:f>'02b n^-1'!D20</x:f>
        <x:v>0</x:v>
      </x:c>
      <x:c r="O20" t="n">
        <x:f>'02b n^-1'!E20</x:f>
        <x:v>0</x:v>
      </x:c>
      <x:c r="P20" t="n">
        <x:f>'02b n^-1'!F20</x:f>
        <x:v>0</x:v>
      </x:c>
      <x:c r="Q20" t="n">
        <x:f>'02b n^-1'!G20</x:f>
        <x:v>0</x:v>
      </x:c>
      <x:c r="R20" t="n">
        <x:f>'02b n^-1'!H20</x:f>
        <x:v>0</x:v>
      </x:c>
      <x:c r="S20" s="12" t="n">
        <x:f>'02c n^-2'!C20</x:f>
        <x:v>0</x:v>
      </x:c>
      <x:c r="T20" t="n">
        <x:f>'02c n^-2'!D20</x:f>
        <x:v>0</x:v>
      </x:c>
      <x:c r="U20" t="n">
        <x:f>'05 Gate Output'!H20</x:f>
        <x:v>1</x:v>
      </x:c>
      <x:c r="V20" t="n">
        <x:f>'05 Gate Output'!I20</x:f>
        <x:v>0</x:v>
      </x:c>
      <x:c r="W20" t="n">
        <x:f>'05 Gate Output'!J20</x:f>
        <x:v>0</x:v>
      </x:c>
      <x:c r="X20" t="n">
        <x:f>'05 Gate Output'!K20</x:f>
        <x:v>0</x:v>
      </x:c>
      <x:c r="Y20" t="n">
        <x:f>'05 Gate Output'!L20</x:f>
        <x:v>0</x:v>
      </x:c>
      <x:c r="Z20" t="n">
        <x:f>'05 Gate Output'!M20</x:f>
        <x:v>0</x:v>
      </x:c>
    </x:row>
    <x:row r="21">
      <x:c r="A21" t="n">
        <x:f>'01 Sensory Input'!A21</x:f>
        <x:v>1</x:v>
      </x:c>
      <x:c r="B21" t="n">
        <x:f>'01 Sensory Input'!B21</x:f>
        <x:v>16</x:v>
      </x:c>
      <x:c r="C21" s="12" t="n">
        <x:f>'01 Sensory Input'!C21</x:f>
        <x:v>0.47</x:v>
      </x:c>
      <x:c r="D21" s="12" t="n">
        <x:f>'01 Sensory Input'!D21</x:f>
        <x:v>0.4</x:v>
      </x:c>
      <x:c r="E21" s="12" t="n">
        <x:f>'01 Sensory Input'!E21</x:f>
        <x:v>0.3</x:v>
      </x:c>
      <x:c r="F21" s="12" t="n">
        <x:f>'01 Sensory Input'!F21</x:f>
        <x:v>0.21</x:v>
      </x:c>
      <x:c r="G21" s="12" t="n">
        <x:f>'01 Sensory Input'!G21</x:f>
        <x:v>0.27</x:v>
      </x:c>
      <x:c r="H21" t="n">
        <x:f>'02a n'!C21</x:f>
        <x:v>0</x:v>
      </x:c>
      <x:c r="I21" t="n">
        <x:f>'02a n'!D21</x:f>
        <x:v>0</x:v>
      </x:c>
      <x:c r="J21" t="n">
        <x:f>'02a n'!E21</x:f>
        <x:v>0</x:v>
      </x:c>
      <x:c r="K21" t="n">
        <x:f>'02a n'!F21</x:f>
        <x:v>0</x:v>
      </x:c>
      <x:c r="L21" t="n">
        <x:f>'02a n'!G21</x:f>
        <x:v>0</x:v>
      </x:c>
      <x:c r="M21" t="n">
        <x:f>'02b n^-1'!C21</x:f>
        <x:v>0</x:v>
      </x:c>
      <x:c r="N21" t="n">
        <x:f>'02b n^-1'!D21</x:f>
        <x:v>0</x:v>
      </x:c>
      <x:c r="O21" t="n">
        <x:f>'02b n^-1'!E21</x:f>
        <x:v>0</x:v>
      </x:c>
      <x:c r="P21" t="n">
        <x:f>'02b n^-1'!F21</x:f>
        <x:v>0</x:v>
      </x:c>
      <x:c r="Q21" t="n">
        <x:f>'02b n^-1'!G21</x:f>
        <x:v>0</x:v>
      </x:c>
      <x:c r="R21" t="n">
        <x:f>'02b n^-1'!H21</x:f>
        <x:v>0</x:v>
      </x:c>
      <x:c r="S21" s="12" t="n">
        <x:f>'02c n^-2'!C21</x:f>
        <x:v>0</x:v>
      </x:c>
      <x:c r="T21" t="n">
        <x:f>'02c n^-2'!D21</x:f>
        <x:v>0</x:v>
      </x:c>
      <x:c r="U21" t="n">
        <x:f>'05 Gate Output'!H21</x:f>
        <x:v>1</x:v>
      </x:c>
      <x:c r="V21" t="n">
        <x:f>'05 Gate Output'!I21</x:f>
        <x:v>0</x:v>
      </x:c>
      <x:c r="W21" t="n">
        <x:f>'05 Gate Output'!J21</x:f>
        <x:v>0</x:v>
      </x:c>
      <x:c r="X21" t="n">
        <x:f>'05 Gate Output'!K21</x:f>
        <x:v>0</x:v>
      </x:c>
      <x:c r="Y21" t="n">
        <x:f>'05 Gate Output'!L21</x:f>
        <x:v>0</x:v>
      </x:c>
      <x:c r="Z21" t="n">
        <x:f>'05 Gate Output'!M21</x:f>
        <x:v>0</x:v>
      </x:c>
    </x:row>
    <x:row r="22">
      <x:c r="A22" t="n">
        <x:f>'01 Sensory Input'!A22</x:f>
        <x:v>1</x:v>
      </x:c>
      <x:c r="B22" t="n">
        <x:f>'01 Sensory Input'!B22</x:f>
        <x:v>17</x:v>
      </x:c>
      <x:c r="C22" s="12" t="n">
        <x:f>'01 Sensory Input'!C22</x:f>
        <x:v>0.49</x:v>
      </x:c>
      <x:c r="D22" s="12" t="n">
        <x:f>'01 Sensory Input'!D22</x:f>
        <x:v>0.42</x:v>
      </x:c>
      <x:c r="E22" s="12" t="n">
        <x:f>'01 Sensory Input'!E22</x:f>
        <x:v>0.33</x:v>
      </x:c>
      <x:c r="F22" s="12" t="n">
        <x:f>'01 Sensory Input'!F22</x:f>
        <x:v>0.22</x:v>
      </x:c>
      <x:c r="G22" s="12" t="n">
        <x:f>'01 Sensory Input'!G22</x:f>
        <x:v>0.29</x:v>
      </x:c>
      <x:c r="H22" t="n">
        <x:f>'02a n'!C22</x:f>
        <x:v>0</x:v>
      </x:c>
      <x:c r="I22" t="n">
        <x:f>'02a n'!D22</x:f>
        <x:v>0</x:v>
      </x:c>
      <x:c r="J22" t="n">
        <x:f>'02a n'!E22</x:f>
        <x:v>0</x:v>
      </x:c>
      <x:c r="K22" t="n">
        <x:f>'02a n'!F22</x:f>
        <x:v>0</x:v>
      </x:c>
      <x:c r="L22" t="n">
        <x:f>'02a n'!G22</x:f>
        <x:v>0</x:v>
      </x:c>
      <x:c r="M22" t="n">
        <x:f>'02b n^-1'!C22</x:f>
        <x:v>0</x:v>
      </x:c>
      <x:c r="N22" t="n">
        <x:f>'02b n^-1'!D22</x:f>
        <x:v>0</x:v>
      </x:c>
      <x:c r="O22" t="n">
        <x:f>'02b n^-1'!E22</x:f>
        <x:v>0</x:v>
      </x:c>
      <x:c r="P22" t="n">
        <x:f>'02b n^-1'!F22</x:f>
        <x:v>0</x:v>
      </x:c>
      <x:c r="Q22" t="n">
        <x:f>'02b n^-1'!G22</x:f>
        <x:v>0</x:v>
      </x:c>
      <x:c r="R22" t="n">
        <x:f>'02b n^-1'!H22</x:f>
        <x:v>0</x:v>
      </x:c>
      <x:c r="S22" s="12" t="n">
        <x:f>'02c n^-2'!C22</x:f>
        <x:v>0</x:v>
      </x:c>
      <x:c r="T22" t="n">
        <x:f>'02c n^-2'!D22</x:f>
        <x:v>0</x:v>
      </x:c>
      <x:c r="U22" t="n">
        <x:f>'05 Gate Output'!H22</x:f>
        <x:v>1</x:v>
      </x:c>
      <x:c r="V22" t="n">
        <x:f>'05 Gate Output'!I22</x:f>
        <x:v>0</x:v>
      </x:c>
      <x:c r="W22" t="n">
        <x:f>'05 Gate Output'!J22</x:f>
        <x:v>0</x:v>
      </x:c>
      <x:c r="X22" t="n">
        <x:f>'05 Gate Output'!K22</x:f>
        <x:v>0</x:v>
      </x:c>
      <x:c r="Y22" t="n">
        <x:f>'05 Gate Output'!L22</x:f>
        <x:v>0</x:v>
      </x:c>
      <x:c r="Z22" t="n">
        <x:f>'05 Gate Output'!M22</x:f>
        <x:v>0</x:v>
      </x:c>
    </x:row>
    <x:row r="23">
      <x:c r="A23" t="n">
        <x:f>'01 Sensory Input'!A23</x:f>
        <x:v>1</x:v>
      </x:c>
      <x:c r="B23" t="n">
        <x:f>'01 Sensory Input'!B23</x:f>
        <x:v>18</x:v>
      </x:c>
      <x:c r="C23" s="12" t="n">
        <x:f>'01 Sensory Input'!C23</x:f>
        <x:v>0.45</x:v>
      </x:c>
      <x:c r="D23" s="12" t="n">
        <x:f>'01 Sensory Input'!D23</x:f>
        <x:v>0.44</x:v>
      </x:c>
      <x:c r="E23" s="12" t="n">
        <x:f>'01 Sensory Input'!E23</x:f>
        <x:v>0.3</x:v>
      </x:c>
      <x:c r="F23" s="12" t="n">
        <x:f>'01 Sensory Input'!F23</x:f>
        <x:v>0.23</x:v>
      </x:c>
      <x:c r="G23" s="12" t="n">
        <x:f>'01 Sensory Input'!G23</x:f>
        <x:v>0.25</x:v>
      </x:c>
      <x:c r="H23" t="n">
        <x:f>'02a n'!C23</x:f>
        <x:v>0</x:v>
      </x:c>
      <x:c r="I23" t="n">
        <x:f>'02a n'!D23</x:f>
        <x:v>0</x:v>
      </x:c>
      <x:c r="J23" t="n">
        <x:f>'02a n'!E23</x:f>
        <x:v>0</x:v>
      </x:c>
      <x:c r="K23" t="n">
        <x:f>'02a n'!F23</x:f>
        <x:v>0</x:v>
      </x:c>
      <x:c r="L23" t="n">
        <x:f>'02a n'!G23</x:f>
        <x:v>0</x:v>
      </x:c>
      <x:c r="M23" t="n">
        <x:f>'02b n^-1'!C23</x:f>
        <x:v>0</x:v>
      </x:c>
      <x:c r="N23" t="n">
        <x:f>'02b n^-1'!D23</x:f>
        <x:v>0</x:v>
      </x:c>
      <x:c r="O23" t="n">
        <x:f>'02b n^-1'!E23</x:f>
        <x:v>0</x:v>
      </x:c>
      <x:c r="P23" t="n">
        <x:f>'02b n^-1'!F23</x:f>
        <x:v>0</x:v>
      </x:c>
      <x:c r="Q23" t="n">
        <x:f>'02b n^-1'!G23</x:f>
        <x:v>0</x:v>
      </x:c>
      <x:c r="R23" t="n">
        <x:f>'02b n^-1'!H23</x:f>
        <x:v>0</x:v>
      </x:c>
      <x:c r="S23" s="12" t="n">
        <x:f>'02c n^-2'!C23</x:f>
        <x:v>0</x:v>
      </x:c>
      <x:c r="T23" t="n">
        <x:f>'02c n^-2'!D23</x:f>
        <x:v>0</x:v>
      </x:c>
      <x:c r="U23" t="n">
        <x:f>'05 Gate Output'!H23</x:f>
        <x:v>1</x:v>
      </x:c>
      <x:c r="V23" t="n">
        <x:f>'05 Gate Output'!I23</x:f>
        <x:v>0</x:v>
      </x:c>
      <x:c r="W23" t="n">
        <x:f>'05 Gate Output'!J23</x:f>
        <x:v>0</x:v>
      </x:c>
      <x:c r="X23" t="n">
        <x:f>'05 Gate Output'!K23</x:f>
        <x:v>0</x:v>
      </x:c>
      <x:c r="Y23" t="n">
        <x:f>'05 Gate Output'!L23</x:f>
        <x:v>0</x:v>
      </x:c>
      <x:c r="Z23" t="n">
        <x:f>'05 Gate Output'!M23</x:f>
        <x:v>0</x:v>
      </x:c>
    </x:row>
    <x:row r="24">
      <x:c r="A24" t="n">
        <x:f>'01 Sensory Input'!A24</x:f>
        <x:v>1</x:v>
      </x:c>
      <x:c r="B24" t="n">
        <x:f>'01 Sensory Input'!B24</x:f>
        <x:v>19</x:v>
      </x:c>
      <x:c r="C24" s="12" t="n">
        <x:f>'01 Sensory Input'!C24</x:f>
        <x:v>0.47</x:v>
      </x:c>
      <x:c r="D24" s="12" t="n">
        <x:f>'01 Sensory Input'!D24</x:f>
        <x:v>0.46</x:v>
      </x:c>
      <x:c r="E24" s="12" t="n">
        <x:f>'01 Sensory Input'!E24</x:f>
        <x:v>0.33</x:v>
      </x:c>
      <x:c r="F24" s="12" t="n">
        <x:f>'01 Sensory Input'!F24</x:f>
        <x:v>0.24</x:v>
      </x:c>
      <x:c r="G24" s="12" t="n">
        <x:f>'01 Sensory Input'!G24</x:f>
        <x:v>0.27</x:v>
      </x:c>
      <x:c r="H24" t="n">
        <x:f>'02a n'!C24</x:f>
        <x:v>0</x:v>
      </x:c>
      <x:c r="I24" t="n">
        <x:f>'02a n'!D24</x:f>
        <x:v>0</x:v>
      </x:c>
      <x:c r="J24" t="n">
        <x:f>'02a n'!E24</x:f>
        <x:v>0</x:v>
      </x:c>
      <x:c r="K24" t="n">
        <x:f>'02a n'!F24</x:f>
        <x:v>0</x:v>
      </x:c>
      <x:c r="L24" t="n">
        <x:f>'02a n'!G24</x:f>
        <x:v>0</x:v>
      </x:c>
      <x:c r="M24" t="n">
        <x:f>'02b n^-1'!C24</x:f>
        <x:v>0</x:v>
      </x:c>
      <x:c r="N24" t="n">
        <x:f>'02b n^-1'!D24</x:f>
        <x:v>0</x:v>
      </x:c>
      <x:c r="O24" t="n">
        <x:f>'02b n^-1'!E24</x:f>
        <x:v>0</x:v>
      </x:c>
      <x:c r="P24" t="n">
        <x:f>'02b n^-1'!F24</x:f>
        <x:v>0</x:v>
      </x:c>
      <x:c r="Q24" t="n">
        <x:f>'02b n^-1'!G24</x:f>
        <x:v>0</x:v>
      </x:c>
      <x:c r="R24" t="n">
        <x:f>'02b n^-1'!H24</x:f>
        <x:v>0</x:v>
      </x:c>
      <x:c r="S24" s="12" t="n">
        <x:f>'02c n^-2'!C24</x:f>
        <x:v>0</x:v>
      </x:c>
      <x:c r="T24" t="n">
        <x:f>'02c n^-2'!D24</x:f>
        <x:v>0</x:v>
      </x:c>
      <x:c r="U24" t="n">
        <x:f>'05 Gate Output'!H24</x:f>
        <x:v>1</x:v>
      </x:c>
      <x:c r="V24" t="n">
        <x:f>'05 Gate Output'!I24</x:f>
        <x:v>0</x:v>
      </x:c>
      <x:c r="W24" t="n">
        <x:f>'05 Gate Output'!J24</x:f>
        <x:v>0</x:v>
      </x:c>
      <x:c r="X24" t="n">
        <x:f>'05 Gate Output'!K24</x:f>
        <x:v>0</x:v>
      </x:c>
      <x:c r="Y24" t="n">
        <x:f>'05 Gate Output'!L24</x:f>
        <x:v>0</x:v>
      </x:c>
      <x:c r="Z24" t="n">
        <x:f>'05 Gate Output'!M24</x:f>
        <x:v>0</x:v>
      </x:c>
    </x:row>
    <x:row r="25">
      <x:c r="A25" t="n">
        <x:f>'01 Sensory Input'!A25</x:f>
        <x:v>1</x:v>
      </x:c>
      <x:c r="B25" t="n">
        <x:f>'01 Sensory Input'!B25</x:f>
        <x:v>20</x:v>
      </x:c>
      <x:c r="C25" s="12" t="n">
        <x:f>'01 Sensory Input'!C25</x:f>
        <x:v>0.49</x:v>
      </x:c>
      <x:c r="D25" s="12" t="n">
        <x:f>'01 Sensory Input'!D25</x:f>
        <x:v>0.4</x:v>
      </x:c>
      <x:c r="E25" s="12" t="n">
        <x:f>'01 Sensory Input'!E25</x:f>
        <x:v>0.3</x:v>
      </x:c>
      <x:c r="F25" s="12" t="n">
        <x:f>'01 Sensory Input'!F25</x:f>
        <x:v>0.2</x:v>
      </x:c>
      <x:c r="G25" s="12" t="n">
        <x:f>'01 Sensory Input'!G25</x:f>
        <x:v>0.29</x:v>
      </x:c>
      <x:c r="H25" t="n">
        <x:f>'02a n'!C25</x:f>
        <x:v>0</x:v>
      </x:c>
      <x:c r="I25" t="n">
        <x:f>'02a n'!D25</x:f>
        <x:v>0</x:v>
      </x:c>
      <x:c r="J25" t="n">
        <x:f>'02a n'!E25</x:f>
        <x:v>0</x:v>
      </x:c>
      <x:c r="K25" t="n">
        <x:f>'02a n'!F25</x:f>
        <x:v>0</x:v>
      </x:c>
      <x:c r="L25" t="n">
        <x:f>'02a n'!G25</x:f>
        <x:v>0</x:v>
      </x:c>
      <x:c r="M25" t="n">
        <x:f>'02b n^-1'!C25</x:f>
        <x:v>0</x:v>
      </x:c>
      <x:c r="N25" t="n">
        <x:f>'02b n^-1'!D25</x:f>
        <x:v>0</x:v>
      </x:c>
      <x:c r="O25" t="n">
        <x:f>'02b n^-1'!E25</x:f>
        <x:v>0</x:v>
      </x:c>
      <x:c r="P25" t="n">
        <x:f>'02b n^-1'!F25</x:f>
        <x:v>0</x:v>
      </x:c>
      <x:c r="Q25" t="n">
        <x:f>'02b n^-1'!G25</x:f>
        <x:v>0</x:v>
      </x:c>
      <x:c r="R25" t="n">
        <x:f>'02b n^-1'!H25</x:f>
        <x:v>0</x:v>
      </x:c>
      <x:c r="S25" s="12" t="n">
        <x:f>'02c n^-2'!C25</x:f>
        <x:v>0</x:v>
      </x:c>
      <x:c r="T25" t="n">
        <x:f>'02c n^-2'!D25</x:f>
        <x:v>0</x:v>
      </x:c>
      <x:c r="U25" t="n">
        <x:f>'05 Gate Output'!H25</x:f>
        <x:v>1</x:v>
      </x:c>
      <x:c r="V25" t="n">
        <x:f>'05 Gate Output'!I25</x:f>
        <x:v>0</x:v>
      </x:c>
      <x:c r="W25" t="n">
        <x:f>'05 Gate Output'!J25</x:f>
        <x:v>0</x:v>
      </x:c>
      <x:c r="X25" t="n">
        <x:f>'05 Gate Output'!K25</x:f>
        <x:v>0</x:v>
      </x:c>
      <x:c r="Y25" t="n">
        <x:f>'05 Gate Output'!L25</x:f>
        <x:v>0</x:v>
      </x:c>
      <x:c r="Z25" t="n">
        <x:f>'05 Gate Output'!M25</x:f>
        <x:v>0</x:v>
      </x:c>
    </x:row>
    <x:row r="26">
      <x:c r="A26" t="n">
        <x:f>'01 Sensory Input'!A26</x:f>
        <x:v>2</x:v>
      </x:c>
      <x:c r="B26" t="n">
        <x:f>'01 Sensory Input'!B26</x:f>
        <x:v>1</x:v>
      </x:c>
      <x:c r="C26" s="12" t="n">
        <x:f>'01 Sensory Input'!C26</x:f>
        <x:v>0.39</x:v>
      </x:c>
      <x:c r="D26" s="12" t="n">
        <x:f>'01 Sensory Input'!D26</x:f>
        <x:v>0.43</x:v>
      </x:c>
      <x:c r="E26" s="12" t="n">
        <x:f>'01 Sensory Input'!E26</x:f>
        <x:v>0.32</x:v>
      </x:c>
      <x:c r="F26" s="12" t="n">
        <x:f>'01 Sensory Input'!F26</x:f>
        <x:v>0.21</x:v>
      </x:c>
      <x:c r="G26" s="12" t="n">
        <x:f>'01 Sensory Input'!G26</x:f>
        <x:v>0.26</x:v>
      </x:c>
      <x:c r="H26" t="n">
        <x:f>'02a n'!C26</x:f>
        <x:v>0</x:v>
      </x:c>
      <x:c r="I26" t="n">
        <x:f>'02a n'!D26</x:f>
        <x:v>0</x:v>
      </x:c>
      <x:c r="J26" t="n">
        <x:f>'02a n'!E26</x:f>
        <x:v>0</x:v>
      </x:c>
      <x:c r="K26" t="n">
        <x:f>'02a n'!F26</x:f>
        <x:v>0</x:v>
      </x:c>
      <x:c r="L26" t="n">
        <x:f>'02a n'!G26</x:f>
        <x:v>0</x:v>
      </x:c>
      <x:c r="M26" t="n">
        <x:f>'02b n^-1'!C26</x:f>
        <x:v>0</x:v>
      </x:c>
      <x:c r="N26" t="n">
        <x:f>'02b n^-1'!D26</x:f>
        <x:v>0</x:v>
      </x:c>
      <x:c r="O26" t="n">
        <x:f>'02b n^-1'!E26</x:f>
        <x:v>0</x:v>
      </x:c>
      <x:c r="P26" t="n">
        <x:f>'02b n^-1'!F26</x:f>
        <x:v>0</x:v>
      </x:c>
      <x:c r="Q26" t="n">
        <x:f>'02b n^-1'!G26</x:f>
        <x:v>0</x:v>
      </x:c>
      <x:c r="R26" t="n">
        <x:f>'02b n^-1'!H26</x:f>
        <x:v>0</x:v>
      </x:c>
      <x:c r="S26" s="12" t="n">
        <x:f>'02c n^-2'!C26</x:f>
        <x:v>0</x:v>
      </x:c>
      <x:c r="T26" t="n">
        <x:f>'02c n^-2'!D26</x:f>
        <x:v>0</x:v>
      </x:c>
      <x:c r="U26" t="n">
        <x:f>'05 Gate Output'!H26</x:f>
        <x:v>1</x:v>
      </x:c>
      <x:c r="V26" t="n">
        <x:f>'05 Gate Output'!I26</x:f>
        <x:v>0</x:v>
      </x:c>
      <x:c r="W26" t="n">
        <x:f>'05 Gate Output'!J26</x:f>
        <x:v>0</x:v>
      </x:c>
      <x:c r="X26" t="n">
        <x:f>'05 Gate Output'!K26</x:f>
        <x:v>0</x:v>
      </x:c>
      <x:c r="Y26" t="n">
        <x:f>'05 Gate Output'!L26</x:f>
        <x:v>0</x:v>
      </x:c>
      <x:c r="Z26" t="n">
        <x:f>'05 Gate Output'!M26</x:f>
        <x:v>0</x:v>
      </x:c>
    </x:row>
    <x:row r="27">
      <x:c r="A27" t="n">
        <x:f>'01 Sensory Input'!A27</x:f>
        <x:v>2</x:v>
      </x:c>
      <x:c r="B27" t="n">
        <x:f>'01 Sensory Input'!B27</x:f>
        <x:v>2</x:v>
      </x:c>
      <x:c r="C27" s="12" t="n">
        <x:f>'01 Sensory Input'!C27</x:f>
        <x:v>0.43</x:v>
      </x:c>
      <x:c r="D27" s="12" t="n">
        <x:f>'01 Sensory Input'!D27</x:f>
        <x:v>0.48</x:v>
      </x:c>
      <x:c r="E27" s="12" t="n">
        <x:f>'01 Sensory Input'!E27</x:f>
        <x:v>0.36</x:v>
      </x:c>
      <x:c r="F27" s="12" t="n">
        <x:f>'01 Sensory Input'!F27</x:f>
        <x:v>0.24</x:v>
      </x:c>
      <x:c r="G27" s="12" t="n">
        <x:f>'01 Sensory Input'!G27</x:f>
        <x:v>0.3</x:v>
      </x:c>
      <x:c r="H27" t="n">
        <x:f>'02a n'!C27</x:f>
        <x:v>0</x:v>
      </x:c>
      <x:c r="I27" t="n">
        <x:f>'02a n'!D27</x:f>
        <x:v>0</x:v>
      </x:c>
      <x:c r="J27" t="n">
        <x:f>'02a n'!E27</x:f>
        <x:v>0</x:v>
      </x:c>
      <x:c r="K27" t="n">
        <x:f>'02a n'!F27</x:f>
        <x:v>0</x:v>
      </x:c>
      <x:c r="L27" t="n">
        <x:f>'02a n'!G27</x:f>
        <x:v>0</x:v>
      </x:c>
      <x:c r="M27" t="n">
        <x:f>'02b n^-1'!C27</x:f>
        <x:v>0</x:v>
      </x:c>
      <x:c r="N27" t="n">
        <x:f>'02b n^-1'!D27</x:f>
        <x:v>0</x:v>
      </x:c>
      <x:c r="O27" t="n">
        <x:f>'02b n^-1'!E27</x:f>
        <x:v>0</x:v>
      </x:c>
      <x:c r="P27" t="n">
        <x:f>'02b n^-1'!F27</x:f>
        <x:v>0</x:v>
      </x:c>
      <x:c r="Q27" t="n">
        <x:f>'02b n^-1'!G27</x:f>
        <x:v>0</x:v>
      </x:c>
      <x:c r="R27" t="n">
        <x:f>'02b n^-1'!H27</x:f>
        <x:v>0</x:v>
      </x:c>
      <x:c r="S27" s="12" t="n">
        <x:f>'02c n^-2'!C27</x:f>
        <x:v>0</x:v>
      </x:c>
      <x:c r="T27" t="n">
        <x:f>'02c n^-2'!D27</x:f>
        <x:v>0</x:v>
      </x:c>
      <x:c r="U27" t="n">
        <x:f>'05 Gate Output'!H27</x:f>
        <x:v>1</x:v>
      </x:c>
      <x:c r="V27" t="n">
        <x:f>'05 Gate Output'!I27</x:f>
        <x:v>0</x:v>
      </x:c>
      <x:c r="W27" t="n">
        <x:f>'05 Gate Output'!J27</x:f>
        <x:v>0</x:v>
      </x:c>
      <x:c r="X27" t="n">
        <x:f>'05 Gate Output'!K27</x:f>
        <x:v>0</x:v>
      </x:c>
      <x:c r="Y27" t="n">
        <x:f>'05 Gate Output'!L27</x:f>
        <x:v>0</x:v>
      </x:c>
      <x:c r="Z27" t="n">
        <x:f>'05 Gate Output'!M27</x:f>
        <x:v>0</x:v>
      </x:c>
    </x:row>
    <x:row r="28">
      <x:c r="A28" t="n">
        <x:f>'01 Sensory Input'!A28</x:f>
        <x:v>2</x:v>
      </x:c>
      <x:c r="B28" t="n">
        <x:f>'01 Sensory Input'!B28</x:f>
        <x:v>3</x:v>
      </x:c>
      <x:c r="C28" s="12" t="n">
        <x:f>'01 Sensory Input'!C28</x:f>
        <x:v>0.47</x:v>
      </x:c>
      <x:c r="D28" s="12" t="n">
        <x:f>'01 Sensory Input'!D28</x:f>
        <x:v>0.53</x:v>
      </x:c>
      <x:c r="E28" s="12" t="n">
        <x:f>'01 Sensory Input'!E28</x:f>
        <x:v>0.28</x:v>
      </x:c>
      <x:c r="F28" s="12" t="n">
        <x:f>'01 Sensory Input'!F28</x:f>
        <x:v>0.27</x:v>
      </x:c>
      <x:c r="G28" s="12" t="n">
        <x:f>'01 Sensory Input'!G28</x:f>
        <x:v>0.34</x:v>
      </x:c>
      <x:c r="H28" t="n">
        <x:f>'02a n'!C28</x:f>
        <x:v>0</x:v>
      </x:c>
      <x:c r="I28" t="n">
        <x:f>'02a n'!D28</x:f>
        <x:v>0</x:v>
      </x:c>
      <x:c r="J28" t="n">
        <x:f>'02a n'!E28</x:f>
        <x:v>0</x:v>
      </x:c>
      <x:c r="K28" t="n">
        <x:f>'02a n'!F28</x:f>
        <x:v>0</x:v>
      </x:c>
      <x:c r="L28" t="n">
        <x:f>'02a n'!G28</x:f>
        <x:v>0</x:v>
      </x:c>
      <x:c r="M28" t="n">
        <x:f>'02b n^-1'!C28</x:f>
        <x:v>0</x:v>
      </x:c>
      <x:c r="N28" t="n">
        <x:f>'02b n^-1'!D28</x:f>
        <x:v>0</x:v>
      </x:c>
      <x:c r="O28" t="n">
        <x:f>'02b n^-1'!E28</x:f>
        <x:v>0</x:v>
      </x:c>
      <x:c r="P28" t="n">
        <x:f>'02b n^-1'!F28</x:f>
        <x:v>0</x:v>
      </x:c>
      <x:c r="Q28" t="n">
        <x:f>'02b n^-1'!G28</x:f>
        <x:v>0</x:v>
      </x:c>
      <x:c r="R28" t="n">
        <x:f>'02b n^-1'!H28</x:f>
        <x:v>0</x:v>
      </x:c>
      <x:c r="S28" s="12" t="n">
        <x:f>'02c n^-2'!C28</x:f>
        <x:v>0</x:v>
      </x:c>
      <x:c r="T28" t="n">
        <x:f>'02c n^-2'!D28</x:f>
        <x:v>0</x:v>
      </x:c>
      <x:c r="U28" t="n">
        <x:f>'05 Gate Output'!H28</x:f>
        <x:v>1</x:v>
      </x:c>
      <x:c r="V28" t="n">
        <x:f>'05 Gate Output'!I28</x:f>
        <x:v>0</x:v>
      </x:c>
      <x:c r="W28" t="n">
        <x:f>'05 Gate Output'!J28</x:f>
        <x:v>0</x:v>
      </x:c>
      <x:c r="X28" t="n">
        <x:f>'05 Gate Output'!K28</x:f>
        <x:v>0</x:v>
      </x:c>
      <x:c r="Y28" t="n">
        <x:f>'05 Gate Output'!L28</x:f>
        <x:v>0</x:v>
      </x:c>
      <x:c r="Z28" t="n">
        <x:f>'05 Gate Output'!M28</x:f>
        <x:v>0</x:v>
      </x:c>
    </x:row>
    <x:row r="29">
      <x:c r="A29" t="n">
        <x:f>'01 Sensory Input'!A29</x:f>
        <x:v>2</x:v>
      </x:c>
      <x:c r="B29" t="n">
        <x:f>'01 Sensory Input'!B29</x:f>
        <x:v>4</x:v>
      </x:c>
      <x:c r="C29" s="12" t="n">
        <x:f>'01 Sensory Input'!C29</x:f>
        <x:v>0.51</x:v>
      </x:c>
      <x:c r="D29" s="12" t="n">
        <x:f>'01 Sensory Input'!D29</x:f>
        <x:v>0.38</x:v>
      </x:c>
      <x:c r="E29" s="12" t="n">
        <x:f>'01 Sensory Input'!E29</x:f>
        <x:v>0.32</x:v>
      </x:c>
      <x:c r="F29" s="12" t="n">
        <x:f>'01 Sensory Input'!F29</x:f>
        <x:v>0.18</x:v>
      </x:c>
      <x:c r="G29" s="12" t="n">
        <x:f>'01 Sensory Input'!G29</x:f>
        <x:v>0.38</x:v>
      </x:c>
      <x:c r="H29" t="n">
        <x:f>'02a n'!C29</x:f>
        <x:v>0</x:v>
      </x:c>
      <x:c r="I29" t="n">
        <x:f>'02a n'!D29</x:f>
        <x:v>0</x:v>
      </x:c>
      <x:c r="J29" t="n">
        <x:f>'02a n'!E29</x:f>
        <x:v>0</x:v>
      </x:c>
      <x:c r="K29" t="n">
        <x:f>'02a n'!F29</x:f>
        <x:v>0</x:v>
      </x:c>
      <x:c r="L29" t="n">
        <x:f>'02a n'!G29</x:f>
        <x:v>0</x:v>
      </x:c>
      <x:c r="M29" t="n">
        <x:f>'02b n^-1'!C29</x:f>
        <x:v>0</x:v>
      </x:c>
      <x:c r="N29" t="n">
        <x:f>'02b n^-1'!D29</x:f>
        <x:v>0</x:v>
      </x:c>
      <x:c r="O29" t="n">
        <x:f>'02b n^-1'!E29</x:f>
        <x:v>0</x:v>
      </x:c>
      <x:c r="P29" t="n">
        <x:f>'02b n^-1'!F29</x:f>
        <x:v>0</x:v>
      </x:c>
      <x:c r="Q29" t="n">
        <x:f>'02b n^-1'!G29</x:f>
        <x:v>0</x:v>
      </x:c>
      <x:c r="R29" t="n">
        <x:f>'02b n^-1'!H29</x:f>
        <x:v>0</x:v>
      </x:c>
      <x:c r="S29" s="12" t="n">
        <x:f>'02c n^-2'!C29</x:f>
        <x:v>0</x:v>
      </x:c>
      <x:c r="T29" t="n">
        <x:f>'02c n^-2'!D29</x:f>
        <x:v>0</x:v>
      </x:c>
      <x:c r="U29" t="n">
        <x:f>'05 Gate Output'!H29</x:f>
        <x:v>1</x:v>
      </x:c>
      <x:c r="V29" t="n">
        <x:f>'05 Gate Output'!I29</x:f>
        <x:v>0</x:v>
      </x:c>
      <x:c r="W29" t="n">
        <x:f>'05 Gate Output'!J29</x:f>
        <x:v>0</x:v>
      </x:c>
      <x:c r="X29" t="n">
        <x:f>'05 Gate Output'!K29</x:f>
        <x:v>0</x:v>
      </x:c>
      <x:c r="Y29" t="n">
        <x:f>'05 Gate Output'!L29</x:f>
        <x:v>0</x:v>
      </x:c>
      <x:c r="Z29" t="n">
        <x:f>'05 Gate Output'!M29</x:f>
        <x:v>0</x:v>
      </x:c>
    </x:row>
    <x:row r="30">
      <x:c r="A30" t="n">
        <x:f>'01 Sensory Input'!A30</x:f>
        <x:v>2</x:v>
      </x:c>
      <x:c r="B30" t="n">
        <x:f>'01 Sensory Input'!B30</x:f>
        <x:v>5</x:v>
      </x:c>
      <x:c r="C30" s="12" t="n">
        <x:f>'01 Sensory Input'!C30</x:f>
        <x:v>0.35</x:v>
      </x:c>
      <x:c r="D30" s="12" t="n">
        <x:f>'01 Sensory Input'!D30</x:f>
        <x:v>0.43</x:v>
      </x:c>
      <x:c r="E30" s="12" t="n">
        <x:f>'01 Sensory Input'!E30</x:f>
        <x:v>0.36</x:v>
      </x:c>
      <x:c r="F30" s="12" t="n">
        <x:f>'01 Sensory Input'!F30</x:f>
        <x:v>0.21</x:v>
      </x:c>
      <x:c r="G30" s="12" t="n">
        <x:f>'01 Sensory Input'!G30</x:f>
        <x:v>0.22</x:v>
      </x:c>
      <x:c r="H30" t="n">
        <x:f>'02a n'!C30</x:f>
        <x:v>0</x:v>
      </x:c>
      <x:c r="I30" t="n">
        <x:f>'02a n'!D30</x:f>
        <x:v>0</x:v>
      </x:c>
      <x:c r="J30" t="n">
        <x:f>'02a n'!E30</x:f>
        <x:v>0</x:v>
      </x:c>
      <x:c r="K30" t="n">
        <x:f>'02a n'!F30</x:f>
        <x:v>0</x:v>
      </x:c>
      <x:c r="L30" t="n">
        <x:f>'02a n'!G30</x:f>
        <x:v>0</x:v>
      </x:c>
      <x:c r="M30" t="n">
        <x:f>'02b n^-1'!C30</x:f>
        <x:v>0</x:v>
      </x:c>
      <x:c r="N30" t="n">
        <x:f>'02b n^-1'!D30</x:f>
        <x:v>0</x:v>
      </x:c>
      <x:c r="O30" t="n">
        <x:f>'02b n^-1'!E30</x:f>
        <x:v>0</x:v>
      </x:c>
      <x:c r="P30" t="n">
        <x:f>'02b n^-1'!F30</x:f>
        <x:v>0</x:v>
      </x:c>
      <x:c r="Q30" t="n">
        <x:f>'02b n^-1'!G30</x:f>
        <x:v>0</x:v>
      </x:c>
      <x:c r="R30" t="n">
        <x:f>'02b n^-1'!H30</x:f>
        <x:v>0</x:v>
      </x:c>
      <x:c r="S30" s="12" t="n">
        <x:f>'02c n^-2'!C30</x:f>
        <x:v>0</x:v>
      </x:c>
      <x:c r="T30" t="n">
        <x:f>'02c n^-2'!D30</x:f>
        <x:v>0</x:v>
      </x:c>
      <x:c r="U30" t="n">
        <x:f>'05 Gate Output'!H30</x:f>
        <x:v>1</x:v>
      </x:c>
      <x:c r="V30" t="n">
        <x:f>'05 Gate Output'!I30</x:f>
        <x:v>0</x:v>
      </x:c>
      <x:c r="W30" t="n">
        <x:f>'05 Gate Output'!J30</x:f>
        <x:v>0</x:v>
      </x:c>
      <x:c r="X30" t="n">
        <x:f>'05 Gate Output'!K30</x:f>
        <x:v>0</x:v>
      </x:c>
      <x:c r="Y30" t="n">
        <x:f>'05 Gate Output'!L30</x:f>
        <x:v>0</x:v>
      </x:c>
      <x:c r="Z30" t="n">
        <x:f>'05 Gate Output'!M30</x:f>
        <x:v>0</x:v>
      </x:c>
    </x:row>
    <x:row r="31">
      <x:c r="A31" t="n">
        <x:f>'01 Sensory Input'!A31</x:f>
        <x:v>2</x:v>
      </x:c>
      <x:c r="B31" t="n">
        <x:f>'01 Sensory Input'!B31</x:f>
        <x:v>6</x:v>
      </x:c>
      <x:c r="C31" s="12" t="n">
        <x:f>'01 Sensory Input'!C31</x:f>
        <x:v>0.39</x:v>
      </x:c>
      <x:c r="D31" s="12" t="n">
        <x:f>'01 Sensory Input'!D31</x:f>
        <x:v>0.48</x:v>
      </x:c>
      <x:c r="E31" s="12" t="n">
        <x:f>'01 Sensory Input'!E31</x:f>
        <x:v>0.28</x:v>
      </x:c>
      <x:c r="F31" s="12" t="n">
        <x:f>'01 Sensory Input'!F31</x:f>
        <x:v>0.24</x:v>
      </x:c>
      <x:c r="G31" s="12" t="n">
        <x:f>'01 Sensory Input'!G31</x:f>
        <x:v>0.26</x:v>
      </x:c>
      <x:c r="H31" t="n">
        <x:f>'02a n'!C31</x:f>
        <x:v>0</x:v>
      </x:c>
      <x:c r="I31" t="n">
        <x:f>'02a n'!D31</x:f>
        <x:v>0</x:v>
      </x:c>
      <x:c r="J31" t="n">
        <x:f>'02a n'!E31</x:f>
        <x:v>0</x:v>
      </x:c>
      <x:c r="K31" t="n">
        <x:f>'02a n'!F31</x:f>
        <x:v>0</x:v>
      </x:c>
      <x:c r="L31" t="n">
        <x:f>'02a n'!G31</x:f>
        <x:v>0</x:v>
      </x:c>
      <x:c r="M31" t="n">
        <x:f>'02b n^-1'!C31</x:f>
        <x:v>0</x:v>
      </x:c>
      <x:c r="N31" t="n">
        <x:f>'02b n^-1'!D31</x:f>
        <x:v>0</x:v>
      </x:c>
      <x:c r="O31" t="n">
        <x:f>'02b n^-1'!E31</x:f>
        <x:v>0</x:v>
      </x:c>
      <x:c r="P31" t="n">
        <x:f>'02b n^-1'!F31</x:f>
        <x:v>0</x:v>
      </x:c>
      <x:c r="Q31" t="n">
        <x:f>'02b n^-1'!G31</x:f>
        <x:v>0</x:v>
      </x:c>
      <x:c r="R31" t="n">
        <x:f>'02b n^-1'!H31</x:f>
        <x:v>0</x:v>
      </x:c>
      <x:c r="S31" s="12" t="n">
        <x:f>'02c n^-2'!C31</x:f>
        <x:v>0</x:v>
      </x:c>
      <x:c r="T31" t="n">
        <x:f>'02c n^-2'!D31</x:f>
        <x:v>0</x:v>
      </x:c>
      <x:c r="U31" t="n">
        <x:f>'05 Gate Output'!H31</x:f>
        <x:v>1</x:v>
      </x:c>
      <x:c r="V31" t="n">
        <x:f>'05 Gate Output'!I31</x:f>
        <x:v>0</x:v>
      </x:c>
      <x:c r="W31" t="n">
        <x:f>'05 Gate Output'!J31</x:f>
        <x:v>0</x:v>
      </x:c>
      <x:c r="X31" t="n">
        <x:f>'05 Gate Output'!K31</x:f>
        <x:v>0</x:v>
      </x:c>
      <x:c r="Y31" t="n">
        <x:f>'05 Gate Output'!L31</x:f>
        <x:v>0</x:v>
      </x:c>
      <x:c r="Z31" t="n">
        <x:f>'05 Gate Output'!M31</x:f>
        <x:v>0</x:v>
      </x:c>
    </x:row>
    <x:row r="32">
      <x:c r="A32" t="n">
        <x:f>'01 Sensory Input'!A32</x:f>
        <x:v>2</x:v>
      </x:c>
      <x:c r="B32" t="n">
        <x:f>'01 Sensory Input'!B32</x:f>
        <x:v>7</x:v>
      </x:c>
      <x:c r="C32" s="12" t="n">
        <x:f>'01 Sensory Input'!C32</x:f>
        <x:v>0.43</x:v>
      </x:c>
      <x:c r="D32" s="12" t="n">
        <x:f>'01 Sensory Input'!D32</x:f>
        <x:v>0.53</x:v>
      </x:c>
      <x:c r="E32" s="12" t="n">
        <x:f>'01 Sensory Input'!E32</x:f>
        <x:v>0.32</x:v>
      </x:c>
      <x:c r="F32" s="12" t="n">
        <x:f>'01 Sensory Input'!F32</x:f>
        <x:v>0.27</x:v>
      </x:c>
      <x:c r="G32" s="12" t="n">
        <x:f>'01 Sensory Input'!G32</x:f>
        <x:v>0.3</x:v>
      </x:c>
      <x:c r="H32" t="n">
        <x:f>'02a n'!C32</x:f>
        <x:v>0</x:v>
      </x:c>
      <x:c r="I32" t="n">
        <x:f>'02a n'!D32</x:f>
        <x:v>0</x:v>
      </x:c>
      <x:c r="J32" t="n">
        <x:f>'02a n'!E32</x:f>
        <x:v>0</x:v>
      </x:c>
      <x:c r="K32" t="n">
        <x:f>'02a n'!F32</x:f>
        <x:v>0</x:v>
      </x:c>
      <x:c r="L32" t="n">
        <x:f>'02a n'!G32</x:f>
        <x:v>0</x:v>
      </x:c>
      <x:c r="M32" t="n">
        <x:f>'02b n^-1'!C32</x:f>
        <x:v>0</x:v>
      </x:c>
      <x:c r="N32" t="n">
        <x:f>'02b n^-1'!D32</x:f>
        <x:v>0</x:v>
      </x:c>
      <x:c r="O32" t="n">
        <x:f>'02b n^-1'!E32</x:f>
        <x:v>0</x:v>
      </x:c>
      <x:c r="P32" t="n">
        <x:f>'02b n^-1'!F32</x:f>
        <x:v>0</x:v>
      </x:c>
      <x:c r="Q32" t="n">
        <x:f>'02b n^-1'!G32</x:f>
        <x:v>0</x:v>
      </x:c>
      <x:c r="R32" t="n">
        <x:f>'02b n^-1'!H32</x:f>
        <x:v>0</x:v>
      </x:c>
      <x:c r="S32" s="12" t="n">
        <x:f>'02c n^-2'!C32</x:f>
        <x:v>0</x:v>
      </x:c>
      <x:c r="T32" t="n">
        <x:f>'02c n^-2'!D32</x:f>
        <x:v>0</x:v>
      </x:c>
      <x:c r="U32" t="n">
        <x:f>'05 Gate Output'!H32</x:f>
        <x:v>1</x:v>
      </x:c>
      <x:c r="V32" t="n">
        <x:f>'05 Gate Output'!I32</x:f>
        <x:v>0</x:v>
      </x:c>
      <x:c r="W32" t="n">
        <x:f>'05 Gate Output'!J32</x:f>
        <x:v>0</x:v>
      </x:c>
      <x:c r="X32" t="n">
        <x:f>'05 Gate Output'!K32</x:f>
        <x:v>0</x:v>
      </x:c>
      <x:c r="Y32" t="n">
        <x:f>'05 Gate Output'!L32</x:f>
        <x:v>0</x:v>
      </x:c>
      <x:c r="Z32" t="n">
        <x:f>'05 Gate Output'!M32</x:f>
        <x:v>0</x:v>
      </x:c>
    </x:row>
    <x:row r="33">
      <x:c r="A33" t="n">
        <x:f>'01 Sensory Input'!A33</x:f>
        <x:v>2</x:v>
      </x:c>
      <x:c r="B33" t="n">
        <x:f>'01 Sensory Input'!B33</x:f>
        <x:v>8</x:v>
      </x:c>
      <x:c r="C33" s="12" t="n">
        <x:f>'01 Sensory Input'!C33</x:f>
        <x:v>0.47</x:v>
      </x:c>
      <x:c r="D33" s="12" t="n">
        <x:f>'01 Sensory Input'!D33</x:f>
        <x:v>0.38</x:v>
      </x:c>
      <x:c r="E33" s="12" t="n">
        <x:f>'01 Sensory Input'!E33</x:f>
        <x:v>0.36</x:v>
      </x:c>
      <x:c r="F33" s="12" t="n">
        <x:f>'01 Sensory Input'!F33</x:f>
        <x:v>0.18</x:v>
      </x:c>
      <x:c r="G33" s="12" t="n">
        <x:f>'01 Sensory Input'!G33</x:f>
        <x:v>0.34</x:v>
      </x:c>
      <x:c r="H33" t="n">
        <x:f>'02a n'!C33</x:f>
        <x:v>0</x:v>
      </x:c>
      <x:c r="I33" t="n">
        <x:f>'02a n'!D33</x:f>
        <x:v>0</x:v>
      </x:c>
      <x:c r="J33" t="n">
        <x:f>'02a n'!E33</x:f>
        <x:v>0</x:v>
      </x:c>
      <x:c r="K33" t="n">
        <x:f>'02a n'!F33</x:f>
        <x:v>0</x:v>
      </x:c>
      <x:c r="L33" t="n">
        <x:f>'02a n'!G33</x:f>
        <x:v>0</x:v>
      </x:c>
      <x:c r="M33" t="n">
        <x:f>'02b n^-1'!C33</x:f>
        <x:v>0</x:v>
      </x:c>
      <x:c r="N33" t="n">
        <x:f>'02b n^-1'!D33</x:f>
        <x:v>0</x:v>
      </x:c>
      <x:c r="O33" t="n">
        <x:f>'02b n^-1'!E33</x:f>
        <x:v>0</x:v>
      </x:c>
      <x:c r="P33" t="n">
        <x:f>'02b n^-1'!F33</x:f>
        <x:v>0</x:v>
      </x:c>
      <x:c r="Q33" t="n">
        <x:f>'02b n^-1'!G33</x:f>
        <x:v>0</x:v>
      </x:c>
      <x:c r="R33" t="n">
        <x:f>'02b n^-1'!H33</x:f>
        <x:v>0</x:v>
      </x:c>
      <x:c r="S33" s="12" t="n">
        <x:f>'02c n^-2'!C33</x:f>
        <x:v>0</x:v>
      </x:c>
      <x:c r="T33" t="n">
        <x:f>'02c n^-2'!D33</x:f>
        <x:v>0</x:v>
      </x:c>
      <x:c r="U33" t="n">
        <x:f>'05 Gate Output'!H33</x:f>
        <x:v>1</x:v>
      </x:c>
      <x:c r="V33" t="n">
        <x:f>'05 Gate Output'!I33</x:f>
        <x:v>0</x:v>
      </x:c>
      <x:c r="W33" t="n">
        <x:f>'05 Gate Output'!J33</x:f>
        <x:v>0</x:v>
      </x:c>
      <x:c r="X33" t="n">
        <x:f>'05 Gate Output'!K33</x:f>
        <x:v>0</x:v>
      </x:c>
      <x:c r="Y33" t="n">
        <x:f>'05 Gate Output'!L33</x:f>
        <x:v>0</x:v>
      </x:c>
      <x:c r="Z33" t="n">
        <x:f>'05 Gate Output'!M33</x:f>
        <x:v>0</x:v>
      </x:c>
    </x:row>
    <x:row r="34">
      <x:c r="A34" t="n">
        <x:f>'01 Sensory Input'!A34</x:f>
        <x:v>2</x:v>
      </x:c>
      <x:c r="B34" t="n">
        <x:f>'01 Sensory Input'!B34</x:f>
        <x:v>9</x:v>
      </x:c>
      <x:c r="C34" s="12" t="n">
        <x:f>'01 Sensory Input'!C34</x:f>
        <x:v>0.51</x:v>
      </x:c>
      <x:c r="D34" s="12" t="n">
        <x:f>'01 Sensory Input'!D34</x:f>
        <x:v>0.43</x:v>
      </x:c>
      <x:c r="E34" s="12" t="n">
        <x:f>'01 Sensory Input'!E34</x:f>
        <x:v>0.28</x:v>
      </x:c>
      <x:c r="F34" s="12" t="n">
        <x:f>'01 Sensory Input'!F34</x:f>
        <x:v>0.21</x:v>
      </x:c>
      <x:c r="G34" s="12" t="n">
        <x:f>'01 Sensory Input'!G34</x:f>
        <x:v>0.38</x:v>
      </x:c>
      <x:c r="H34" t="n">
        <x:f>'02a n'!C34</x:f>
        <x:v>0</x:v>
      </x:c>
      <x:c r="I34" t="n">
        <x:f>'02a n'!D34</x:f>
        <x:v>0</x:v>
      </x:c>
      <x:c r="J34" t="n">
        <x:f>'02a n'!E34</x:f>
        <x:v>0</x:v>
      </x:c>
      <x:c r="K34" t="n">
        <x:f>'02a n'!F34</x:f>
        <x:v>0</x:v>
      </x:c>
      <x:c r="L34" t="n">
        <x:f>'02a n'!G34</x:f>
        <x:v>0</x:v>
      </x:c>
      <x:c r="M34" t="n">
        <x:f>'02b n^-1'!C34</x:f>
        <x:v>0</x:v>
      </x:c>
      <x:c r="N34" t="n">
        <x:f>'02b n^-1'!D34</x:f>
        <x:v>0</x:v>
      </x:c>
      <x:c r="O34" t="n">
        <x:f>'02b n^-1'!E34</x:f>
        <x:v>0</x:v>
      </x:c>
      <x:c r="P34" t="n">
        <x:f>'02b n^-1'!F34</x:f>
        <x:v>0</x:v>
      </x:c>
      <x:c r="Q34" t="n">
        <x:f>'02b n^-1'!G34</x:f>
        <x:v>0</x:v>
      </x:c>
      <x:c r="R34" t="n">
        <x:f>'02b n^-1'!H34</x:f>
        <x:v>0</x:v>
      </x:c>
      <x:c r="S34" s="12" t="n">
        <x:f>'02c n^-2'!C34</x:f>
        <x:v>0</x:v>
      </x:c>
      <x:c r="T34" t="n">
        <x:f>'02c n^-2'!D34</x:f>
        <x:v>0</x:v>
      </x:c>
      <x:c r="U34" t="n">
        <x:f>'05 Gate Output'!H34</x:f>
        <x:v>1</x:v>
      </x:c>
      <x:c r="V34" t="n">
        <x:f>'05 Gate Output'!I34</x:f>
        <x:v>0</x:v>
      </x:c>
      <x:c r="W34" t="n">
        <x:f>'05 Gate Output'!J34</x:f>
        <x:v>0</x:v>
      </x:c>
      <x:c r="X34" t="n">
        <x:f>'05 Gate Output'!K34</x:f>
        <x:v>0</x:v>
      </x:c>
      <x:c r="Y34" t="n">
        <x:f>'05 Gate Output'!L34</x:f>
        <x:v>0</x:v>
      </x:c>
      <x:c r="Z34" t="n">
        <x:f>'05 Gate Output'!M34</x:f>
        <x:v>0</x:v>
      </x:c>
    </x:row>
    <x:row r="35">
      <x:c r="A35" t="n">
        <x:f>'01 Sensory Input'!A35</x:f>
        <x:v>2</x:v>
      </x:c>
      <x:c r="B35" t="n">
        <x:f>'01 Sensory Input'!B35</x:f>
        <x:v>10</x:v>
      </x:c>
      <x:c r="C35" s="12" t="n">
        <x:f>'01 Sensory Input'!C35</x:f>
        <x:v>0.35</x:v>
      </x:c>
      <x:c r="D35" s="12" t="n">
        <x:f>'01 Sensory Input'!D35</x:f>
        <x:v>0.48</x:v>
      </x:c>
      <x:c r="E35" s="12" t="n">
        <x:f>'01 Sensory Input'!E35</x:f>
        <x:v>0.32</x:v>
      </x:c>
      <x:c r="F35" s="12" t="n">
        <x:f>'01 Sensory Input'!F35</x:f>
        <x:v>0.24</x:v>
      </x:c>
      <x:c r="G35" s="12" t="n">
        <x:f>'01 Sensory Input'!G35</x:f>
        <x:v>0.22</x:v>
      </x:c>
      <x:c r="H35" t="n">
        <x:f>'02a n'!C35</x:f>
        <x:v>0</x:v>
      </x:c>
      <x:c r="I35" t="n">
        <x:f>'02a n'!D35</x:f>
        <x:v>0</x:v>
      </x:c>
      <x:c r="J35" t="n">
        <x:f>'02a n'!E35</x:f>
        <x:v>0</x:v>
      </x:c>
      <x:c r="K35" t="n">
        <x:f>'02a n'!F35</x:f>
        <x:v>0</x:v>
      </x:c>
      <x:c r="L35" t="n">
        <x:f>'02a n'!G35</x:f>
        <x:v>0</x:v>
      </x:c>
      <x:c r="M35" t="n">
        <x:f>'02b n^-1'!C35</x:f>
        <x:v>0</x:v>
      </x:c>
      <x:c r="N35" t="n">
        <x:f>'02b n^-1'!D35</x:f>
        <x:v>0</x:v>
      </x:c>
      <x:c r="O35" t="n">
        <x:f>'02b n^-1'!E35</x:f>
        <x:v>0</x:v>
      </x:c>
      <x:c r="P35" t="n">
        <x:f>'02b n^-1'!F35</x:f>
        <x:v>0</x:v>
      </x:c>
      <x:c r="Q35" t="n">
        <x:f>'02b n^-1'!G35</x:f>
        <x:v>0</x:v>
      </x:c>
      <x:c r="R35" t="n">
        <x:f>'02b n^-1'!H35</x:f>
        <x:v>0</x:v>
      </x:c>
      <x:c r="S35" s="12" t="n">
        <x:f>'02c n^-2'!C35</x:f>
        <x:v>0</x:v>
      </x:c>
      <x:c r="T35" t="n">
        <x:f>'02c n^-2'!D35</x:f>
        <x:v>0</x:v>
      </x:c>
      <x:c r="U35" t="n">
        <x:f>'05 Gate Output'!H35</x:f>
        <x:v>1</x:v>
      </x:c>
      <x:c r="V35" t="n">
        <x:f>'05 Gate Output'!I35</x:f>
        <x:v>0</x:v>
      </x:c>
      <x:c r="W35" t="n">
        <x:f>'05 Gate Output'!J35</x:f>
        <x:v>0</x:v>
      </x:c>
      <x:c r="X35" t="n">
        <x:f>'05 Gate Output'!K35</x:f>
        <x:v>0</x:v>
      </x:c>
      <x:c r="Y35" t="n">
        <x:f>'05 Gate Output'!L35</x:f>
        <x:v>0</x:v>
      </x:c>
      <x:c r="Z35" t="n">
        <x:f>'05 Gate Output'!M35</x:f>
        <x:v>0</x:v>
      </x:c>
    </x:row>
    <x:row r="36">
      <x:c r="A36" t="n">
        <x:f>'01 Sensory Input'!A36</x:f>
        <x:v>2</x:v>
      </x:c>
      <x:c r="B36" t="n">
        <x:f>'01 Sensory Input'!B36</x:f>
        <x:v>11</x:v>
      </x:c>
      <x:c r="C36" s="12" t="n">
        <x:f>'01 Sensory Input'!C36</x:f>
        <x:v>0.39</x:v>
      </x:c>
      <x:c r="D36" s="12" t="n">
        <x:f>'01 Sensory Input'!D36</x:f>
        <x:v>0.53</x:v>
      </x:c>
      <x:c r="E36" s="12" t="n">
        <x:f>'01 Sensory Input'!E36</x:f>
        <x:v>0.36</x:v>
      </x:c>
      <x:c r="F36" s="12" t="n">
        <x:f>'01 Sensory Input'!F36</x:f>
        <x:v>0.27</x:v>
      </x:c>
      <x:c r="G36" s="12" t="n">
        <x:f>'01 Sensory Input'!G36</x:f>
        <x:v>0.26</x:v>
      </x:c>
      <x:c r="H36" t="n">
        <x:f>'02a n'!C36</x:f>
        <x:v>0</x:v>
      </x:c>
      <x:c r="I36" t="n">
        <x:f>'02a n'!D36</x:f>
        <x:v>0</x:v>
      </x:c>
      <x:c r="J36" t="n">
        <x:f>'02a n'!E36</x:f>
        <x:v>0</x:v>
      </x:c>
      <x:c r="K36" t="n">
        <x:f>'02a n'!F36</x:f>
        <x:v>0</x:v>
      </x:c>
      <x:c r="L36" t="n">
        <x:f>'02a n'!G36</x:f>
        <x:v>0</x:v>
      </x:c>
      <x:c r="M36" t="n">
        <x:f>'02b n^-1'!C36</x:f>
        <x:v>0</x:v>
      </x:c>
      <x:c r="N36" t="n">
        <x:f>'02b n^-1'!D36</x:f>
        <x:v>0</x:v>
      </x:c>
      <x:c r="O36" t="n">
        <x:f>'02b n^-1'!E36</x:f>
        <x:v>0</x:v>
      </x:c>
      <x:c r="P36" t="n">
        <x:f>'02b n^-1'!F36</x:f>
        <x:v>0</x:v>
      </x:c>
      <x:c r="Q36" t="n">
        <x:f>'02b n^-1'!G36</x:f>
        <x:v>0</x:v>
      </x:c>
      <x:c r="R36" t="n">
        <x:f>'02b n^-1'!H36</x:f>
        <x:v>0</x:v>
      </x:c>
      <x:c r="S36" s="12" t="n">
        <x:f>'02c n^-2'!C36</x:f>
        <x:v>0</x:v>
      </x:c>
      <x:c r="T36" t="n">
        <x:f>'02c n^-2'!D36</x:f>
        <x:v>0</x:v>
      </x:c>
      <x:c r="U36" t="n">
        <x:f>'05 Gate Output'!H36</x:f>
        <x:v>1</x:v>
      </x:c>
      <x:c r="V36" t="n">
        <x:f>'05 Gate Output'!I36</x:f>
        <x:v>0</x:v>
      </x:c>
      <x:c r="W36" t="n">
        <x:f>'05 Gate Output'!J36</x:f>
        <x:v>0</x:v>
      </x:c>
      <x:c r="X36" t="n">
        <x:f>'05 Gate Output'!K36</x:f>
        <x:v>0</x:v>
      </x:c>
      <x:c r="Y36" t="n">
        <x:f>'05 Gate Output'!L36</x:f>
        <x:v>0</x:v>
      </x:c>
      <x:c r="Z36" t="n">
        <x:f>'05 Gate Output'!M36</x:f>
        <x:v>0</x:v>
      </x:c>
    </x:row>
    <x:row r="37">
      <x:c r="A37" t="n">
        <x:f>'01 Sensory Input'!A37</x:f>
        <x:v>2</x:v>
      </x:c>
      <x:c r="B37" t="n">
        <x:f>'01 Sensory Input'!B37</x:f>
        <x:v>12</x:v>
      </x:c>
      <x:c r="C37" s="12" t="n">
        <x:f>'01 Sensory Input'!C37</x:f>
        <x:v>0.43</x:v>
      </x:c>
      <x:c r="D37" s="12" t="n">
        <x:f>'01 Sensory Input'!D37</x:f>
        <x:v>0.38</x:v>
      </x:c>
      <x:c r="E37" s="12" t="n">
        <x:f>'01 Sensory Input'!E37</x:f>
        <x:v>0.28</x:v>
      </x:c>
      <x:c r="F37" s="12" t="n">
        <x:f>'01 Sensory Input'!F37</x:f>
        <x:v>0.18</x:v>
      </x:c>
      <x:c r="G37" s="12" t="n">
        <x:f>'01 Sensory Input'!G37</x:f>
        <x:v>0.3</x:v>
      </x:c>
      <x:c r="H37" t="n">
        <x:f>'02a n'!C37</x:f>
        <x:v>0</x:v>
      </x:c>
      <x:c r="I37" t="n">
        <x:f>'02a n'!D37</x:f>
        <x:v>0</x:v>
      </x:c>
      <x:c r="J37" t="n">
        <x:f>'02a n'!E37</x:f>
        <x:v>0</x:v>
      </x:c>
      <x:c r="K37" t="n">
        <x:f>'02a n'!F37</x:f>
        <x:v>0</x:v>
      </x:c>
      <x:c r="L37" t="n">
        <x:f>'02a n'!G37</x:f>
        <x:v>0</x:v>
      </x:c>
      <x:c r="M37" t="n">
        <x:f>'02b n^-1'!C37</x:f>
        <x:v>0</x:v>
      </x:c>
      <x:c r="N37" t="n">
        <x:f>'02b n^-1'!D37</x:f>
        <x:v>0</x:v>
      </x:c>
      <x:c r="O37" t="n">
        <x:f>'02b n^-1'!E37</x:f>
        <x:v>0</x:v>
      </x:c>
      <x:c r="P37" t="n">
        <x:f>'02b n^-1'!F37</x:f>
        <x:v>0</x:v>
      </x:c>
      <x:c r="Q37" t="n">
        <x:f>'02b n^-1'!G37</x:f>
        <x:v>0</x:v>
      </x:c>
      <x:c r="R37" t="n">
        <x:f>'02b n^-1'!H37</x:f>
        <x:v>0</x:v>
      </x:c>
      <x:c r="S37" s="12" t="n">
        <x:f>'02c n^-2'!C37</x:f>
        <x:v>0</x:v>
      </x:c>
      <x:c r="T37" t="n">
        <x:f>'02c n^-2'!D37</x:f>
        <x:v>0</x:v>
      </x:c>
      <x:c r="U37" t="n">
        <x:f>'05 Gate Output'!H37</x:f>
        <x:v>1</x:v>
      </x:c>
      <x:c r="V37" t="n">
        <x:f>'05 Gate Output'!I37</x:f>
        <x:v>0</x:v>
      </x:c>
      <x:c r="W37" t="n">
        <x:f>'05 Gate Output'!J37</x:f>
        <x:v>0</x:v>
      </x:c>
      <x:c r="X37" t="n">
        <x:f>'05 Gate Output'!K37</x:f>
        <x:v>0</x:v>
      </x:c>
      <x:c r="Y37" t="n">
        <x:f>'05 Gate Output'!L37</x:f>
        <x:v>0</x:v>
      </x:c>
      <x:c r="Z37" t="n">
        <x:f>'05 Gate Output'!M37</x:f>
        <x:v>0</x:v>
      </x:c>
    </x:row>
    <x:row r="38">
      <x:c r="A38" t="n">
        <x:f>'01 Sensory Input'!A38</x:f>
        <x:v>2</x:v>
      </x:c>
      <x:c r="B38" t="n">
        <x:f>'01 Sensory Input'!B38</x:f>
        <x:v>13</x:v>
      </x:c>
      <x:c r="C38" s="12" t="n">
        <x:f>'01 Sensory Input'!C38</x:f>
        <x:v>0.47</x:v>
      </x:c>
      <x:c r="D38" s="12" t="n">
        <x:f>'01 Sensory Input'!D38</x:f>
        <x:v>0.43</x:v>
      </x:c>
      <x:c r="E38" s="12" t="n">
        <x:f>'01 Sensory Input'!E38</x:f>
        <x:v>0.32</x:v>
      </x:c>
      <x:c r="F38" s="12" t="n">
        <x:f>'01 Sensory Input'!F38</x:f>
        <x:v>0.21</x:v>
      </x:c>
      <x:c r="G38" s="12" t="n">
        <x:f>'01 Sensory Input'!G38</x:f>
        <x:v>0.34</x:v>
      </x:c>
      <x:c r="H38" t="n">
        <x:f>'02a n'!C38</x:f>
        <x:v>0</x:v>
      </x:c>
      <x:c r="I38" t="n">
        <x:f>'02a n'!D38</x:f>
        <x:v>0</x:v>
      </x:c>
      <x:c r="J38" t="n">
        <x:f>'02a n'!E38</x:f>
        <x:v>0</x:v>
      </x:c>
      <x:c r="K38" t="n">
        <x:f>'02a n'!F38</x:f>
        <x:v>0</x:v>
      </x:c>
      <x:c r="L38" t="n">
        <x:f>'02a n'!G38</x:f>
        <x:v>0</x:v>
      </x:c>
      <x:c r="M38" t="n">
        <x:f>'02b n^-1'!C38</x:f>
        <x:v>0</x:v>
      </x:c>
      <x:c r="N38" t="n">
        <x:f>'02b n^-1'!D38</x:f>
        <x:v>0</x:v>
      </x:c>
      <x:c r="O38" t="n">
        <x:f>'02b n^-1'!E38</x:f>
        <x:v>0</x:v>
      </x:c>
      <x:c r="P38" t="n">
        <x:f>'02b n^-1'!F38</x:f>
        <x:v>0</x:v>
      </x:c>
      <x:c r="Q38" t="n">
        <x:f>'02b n^-1'!G38</x:f>
        <x:v>0</x:v>
      </x:c>
      <x:c r="R38" t="n">
        <x:f>'02b n^-1'!H38</x:f>
        <x:v>0</x:v>
      </x:c>
      <x:c r="S38" s="12" t="n">
        <x:f>'02c n^-2'!C38</x:f>
        <x:v>0</x:v>
      </x:c>
      <x:c r="T38" t="n">
        <x:f>'02c n^-2'!D38</x:f>
        <x:v>0</x:v>
      </x:c>
      <x:c r="U38" t="n">
        <x:f>'05 Gate Output'!H38</x:f>
        <x:v>1</x:v>
      </x:c>
      <x:c r="V38" t="n">
        <x:f>'05 Gate Output'!I38</x:f>
        <x:v>0</x:v>
      </x:c>
      <x:c r="W38" t="n">
        <x:f>'05 Gate Output'!J38</x:f>
        <x:v>0</x:v>
      </x:c>
      <x:c r="X38" t="n">
        <x:f>'05 Gate Output'!K38</x:f>
        <x:v>0</x:v>
      </x:c>
      <x:c r="Y38" t="n">
        <x:f>'05 Gate Output'!L38</x:f>
        <x:v>0</x:v>
      </x:c>
      <x:c r="Z38" t="n">
        <x:f>'05 Gate Output'!M38</x:f>
        <x:v>0</x:v>
      </x:c>
    </x:row>
    <x:row r="39">
      <x:c r="A39" t="n">
        <x:f>'01 Sensory Input'!A39</x:f>
        <x:v>2</x:v>
      </x:c>
      <x:c r="B39" t="n">
        <x:f>'01 Sensory Input'!B39</x:f>
        <x:v>14</x:v>
      </x:c>
      <x:c r="C39" s="12" t="n">
        <x:f>'01 Sensory Input'!C39</x:f>
        <x:v>0.51</x:v>
      </x:c>
      <x:c r="D39" s="12" t="n">
        <x:f>'01 Sensory Input'!D39</x:f>
        <x:v>0.48</x:v>
      </x:c>
      <x:c r="E39" s="12" t="n">
        <x:f>'01 Sensory Input'!E39</x:f>
        <x:v>0.36</x:v>
      </x:c>
      <x:c r="F39" s="12" t="n">
        <x:f>'01 Sensory Input'!F39</x:f>
        <x:v>0.24</x:v>
      </x:c>
      <x:c r="G39" s="12" t="n">
        <x:f>'01 Sensory Input'!G39</x:f>
        <x:v>0.38</x:v>
      </x:c>
      <x:c r="H39" t="n">
        <x:f>'02a n'!C39</x:f>
        <x:v>0</x:v>
      </x:c>
      <x:c r="I39" t="n">
        <x:f>'02a n'!D39</x:f>
        <x:v>0</x:v>
      </x:c>
      <x:c r="J39" t="n">
        <x:f>'02a n'!E39</x:f>
        <x:v>0</x:v>
      </x:c>
      <x:c r="K39" t="n">
        <x:f>'02a n'!F39</x:f>
        <x:v>0</x:v>
      </x:c>
      <x:c r="L39" t="n">
        <x:f>'02a n'!G39</x:f>
        <x:v>0</x:v>
      </x:c>
      <x:c r="M39" t="n">
        <x:f>'02b n^-1'!C39</x:f>
        <x:v>0</x:v>
      </x:c>
      <x:c r="N39" t="n">
        <x:f>'02b n^-1'!D39</x:f>
        <x:v>0</x:v>
      </x:c>
      <x:c r="O39" t="n">
        <x:f>'02b n^-1'!E39</x:f>
        <x:v>0</x:v>
      </x:c>
      <x:c r="P39" t="n">
        <x:f>'02b n^-1'!F39</x:f>
        <x:v>0</x:v>
      </x:c>
      <x:c r="Q39" t="n">
        <x:f>'02b n^-1'!G39</x:f>
        <x:v>0</x:v>
      </x:c>
      <x:c r="R39" t="n">
        <x:f>'02b n^-1'!H39</x:f>
        <x:v>0</x:v>
      </x:c>
      <x:c r="S39" s="12" t="n">
        <x:f>'02c n^-2'!C39</x:f>
        <x:v>0</x:v>
      </x:c>
      <x:c r="T39" t="n">
        <x:f>'02c n^-2'!D39</x:f>
        <x:v>0</x:v>
      </x:c>
      <x:c r="U39" t="n">
        <x:f>'05 Gate Output'!H39</x:f>
        <x:v>1</x:v>
      </x:c>
      <x:c r="V39" t="n">
        <x:f>'05 Gate Output'!I39</x:f>
        <x:v>0</x:v>
      </x:c>
      <x:c r="W39" t="n">
        <x:f>'05 Gate Output'!J39</x:f>
        <x:v>0</x:v>
      </x:c>
      <x:c r="X39" t="n">
        <x:f>'05 Gate Output'!K39</x:f>
        <x:v>0</x:v>
      </x:c>
      <x:c r="Y39" t="n">
        <x:f>'05 Gate Output'!L39</x:f>
        <x:v>0</x:v>
      </x:c>
      <x:c r="Z39" t="n">
        <x:f>'05 Gate Output'!M39</x:f>
        <x:v>0</x:v>
      </x:c>
    </x:row>
    <x:row r="40">
      <x:c r="A40" t="n">
        <x:f>'01 Sensory Input'!A40</x:f>
        <x:v>2</x:v>
      </x:c>
      <x:c r="B40" t="n">
        <x:f>'01 Sensory Input'!B40</x:f>
        <x:v>15</x:v>
      </x:c>
      <x:c r="C40" s="12" t="n">
        <x:f>'01 Sensory Input'!C40</x:f>
        <x:v>0.35</x:v>
      </x:c>
      <x:c r="D40" s="12" t="n">
        <x:f>'01 Sensory Input'!D40</x:f>
        <x:v>0.53</x:v>
      </x:c>
      <x:c r="E40" s="12" t="n">
        <x:f>'01 Sensory Input'!E40</x:f>
        <x:v>0.28</x:v>
      </x:c>
      <x:c r="F40" s="12" t="n">
        <x:f>'01 Sensory Input'!F40</x:f>
        <x:v>0.27</x:v>
      </x:c>
      <x:c r="G40" s="12" t="n">
        <x:f>'01 Sensory Input'!G40</x:f>
        <x:v>0.22</x:v>
      </x:c>
      <x:c r="H40" t="n">
        <x:f>'02a n'!C40</x:f>
        <x:v>0</x:v>
      </x:c>
      <x:c r="I40" t="n">
        <x:f>'02a n'!D40</x:f>
        <x:v>0</x:v>
      </x:c>
      <x:c r="J40" t="n">
        <x:f>'02a n'!E40</x:f>
        <x:v>0</x:v>
      </x:c>
      <x:c r="K40" t="n">
        <x:f>'02a n'!F40</x:f>
        <x:v>0</x:v>
      </x:c>
      <x:c r="L40" t="n">
        <x:f>'02a n'!G40</x:f>
        <x:v>0</x:v>
      </x:c>
      <x:c r="M40" t="n">
        <x:f>'02b n^-1'!C40</x:f>
        <x:v>0</x:v>
      </x:c>
      <x:c r="N40" t="n">
        <x:f>'02b n^-1'!D40</x:f>
        <x:v>0</x:v>
      </x:c>
      <x:c r="O40" t="n">
        <x:f>'02b n^-1'!E40</x:f>
        <x:v>0</x:v>
      </x:c>
      <x:c r="P40" t="n">
        <x:f>'02b n^-1'!F40</x:f>
        <x:v>0</x:v>
      </x:c>
      <x:c r="Q40" t="n">
        <x:f>'02b n^-1'!G40</x:f>
        <x:v>0</x:v>
      </x:c>
      <x:c r="R40" t="n">
        <x:f>'02b n^-1'!H40</x:f>
        <x:v>0</x:v>
      </x:c>
      <x:c r="S40" s="12" t="n">
        <x:f>'02c n^-2'!C40</x:f>
        <x:v>0</x:v>
      </x:c>
      <x:c r="T40" t="n">
        <x:f>'02c n^-2'!D40</x:f>
        <x:v>0</x:v>
      </x:c>
      <x:c r="U40" t="n">
        <x:f>'05 Gate Output'!H40</x:f>
        <x:v>1</x:v>
      </x:c>
      <x:c r="V40" t="n">
        <x:f>'05 Gate Output'!I40</x:f>
        <x:v>0</x:v>
      </x:c>
      <x:c r="W40" t="n">
        <x:f>'05 Gate Output'!J40</x:f>
        <x:v>0</x:v>
      </x:c>
      <x:c r="X40" t="n">
        <x:f>'05 Gate Output'!K40</x:f>
        <x:v>0</x:v>
      </x:c>
      <x:c r="Y40" t="n">
        <x:f>'05 Gate Output'!L40</x:f>
        <x:v>0</x:v>
      </x:c>
      <x:c r="Z40" t="n">
        <x:f>'05 Gate Output'!M40</x:f>
        <x:v>0</x:v>
      </x:c>
    </x:row>
    <x:row r="41">
      <x:c r="A41" t="n">
        <x:f>'01 Sensory Input'!A41</x:f>
        <x:v>2</x:v>
      </x:c>
      <x:c r="B41" t="n">
        <x:f>'01 Sensory Input'!B41</x:f>
        <x:v>16</x:v>
      </x:c>
      <x:c r="C41" s="12" t="n">
        <x:f>'01 Sensory Input'!C41</x:f>
        <x:v>0.39</x:v>
      </x:c>
      <x:c r="D41" s="12" t="n">
        <x:f>'01 Sensory Input'!D41</x:f>
        <x:v>0.38</x:v>
      </x:c>
      <x:c r="E41" s="12" t="n">
        <x:f>'01 Sensory Input'!E41</x:f>
        <x:v>0.32</x:v>
      </x:c>
      <x:c r="F41" s="12" t="n">
        <x:f>'01 Sensory Input'!F41</x:f>
        <x:v>0.18</x:v>
      </x:c>
      <x:c r="G41" s="12" t="n">
        <x:f>'01 Sensory Input'!G41</x:f>
        <x:v>0.26</x:v>
      </x:c>
      <x:c r="H41" t="n">
        <x:f>'02a n'!C41</x:f>
        <x:v>0</x:v>
      </x:c>
      <x:c r="I41" t="n">
        <x:f>'02a n'!D41</x:f>
        <x:v>0</x:v>
      </x:c>
      <x:c r="J41" t="n">
        <x:f>'02a n'!E41</x:f>
        <x:v>0</x:v>
      </x:c>
      <x:c r="K41" t="n">
        <x:f>'02a n'!F41</x:f>
        <x:v>0</x:v>
      </x:c>
      <x:c r="L41" t="n">
        <x:f>'02a n'!G41</x:f>
        <x:v>0</x:v>
      </x:c>
      <x:c r="M41" t="n">
        <x:f>'02b n^-1'!C41</x:f>
        <x:v>0</x:v>
      </x:c>
      <x:c r="N41" t="n">
        <x:f>'02b n^-1'!D41</x:f>
        <x:v>0</x:v>
      </x:c>
      <x:c r="O41" t="n">
        <x:f>'02b n^-1'!E41</x:f>
        <x:v>0</x:v>
      </x:c>
      <x:c r="P41" t="n">
        <x:f>'02b n^-1'!F41</x:f>
        <x:v>0</x:v>
      </x:c>
      <x:c r="Q41" t="n">
        <x:f>'02b n^-1'!G41</x:f>
        <x:v>0</x:v>
      </x:c>
      <x:c r="R41" t="n">
        <x:f>'02b n^-1'!H41</x:f>
        <x:v>0</x:v>
      </x:c>
      <x:c r="S41" s="12" t="n">
        <x:f>'02c n^-2'!C41</x:f>
        <x:v>0</x:v>
      </x:c>
      <x:c r="T41" t="n">
        <x:f>'02c n^-2'!D41</x:f>
        <x:v>0</x:v>
      </x:c>
      <x:c r="U41" t="n">
        <x:f>'05 Gate Output'!H41</x:f>
        <x:v>1</x:v>
      </x:c>
      <x:c r="V41" t="n">
        <x:f>'05 Gate Output'!I41</x:f>
        <x:v>0</x:v>
      </x:c>
      <x:c r="W41" t="n">
        <x:f>'05 Gate Output'!J41</x:f>
        <x:v>0</x:v>
      </x:c>
      <x:c r="X41" t="n">
        <x:f>'05 Gate Output'!K41</x:f>
        <x:v>0</x:v>
      </x:c>
      <x:c r="Y41" t="n">
        <x:f>'05 Gate Output'!L41</x:f>
        <x:v>0</x:v>
      </x:c>
      <x:c r="Z41" t="n">
        <x:f>'05 Gate Output'!M41</x:f>
        <x:v>0</x:v>
      </x:c>
    </x:row>
    <x:row r="42">
      <x:c r="A42" t="n">
        <x:f>'01 Sensory Input'!A42</x:f>
        <x:v>2</x:v>
      </x:c>
      <x:c r="B42" t="n">
        <x:f>'01 Sensory Input'!B42</x:f>
        <x:v>17</x:v>
      </x:c>
      <x:c r="C42" s="12" t="n">
        <x:f>'01 Sensory Input'!C42</x:f>
        <x:v>0.43</x:v>
      </x:c>
      <x:c r="D42" s="12" t="n">
        <x:f>'01 Sensory Input'!D42</x:f>
        <x:v>0.43</x:v>
      </x:c>
      <x:c r="E42" s="12" t="n">
        <x:f>'01 Sensory Input'!E42</x:f>
        <x:v>0.36</x:v>
      </x:c>
      <x:c r="F42" s="12" t="n">
        <x:f>'01 Sensory Input'!F42</x:f>
        <x:v>0.21</x:v>
      </x:c>
      <x:c r="G42" s="12" t="n">
        <x:f>'01 Sensory Input'!G42</x:f>
        <x:v>0.3</x:v>
      </x:c>
      <x:c r="H42" t="n">
        <x:f>'02a n'!C42</x:f>
        <x:v>0</x:v>
      </x:c>
      <x:c r="I42" t="n">
        <x:f>'02a n'!D42</x:f>
        <x:v>0</x:v>
      </x:c>
      <x:c r="J42" t="n">
        <x:f>'02a n'!E42</x:f>
        <x:v>0</x:v>
      </x:c>
      <x:c r="K42" t="n">
        <x:f>'02a n'!F42</x:f>
        <x:v>0</x:v>
      </x:c>
      <x:c r="L42" t="n">
        <x:f>'02a n'!G42</x:f>
        <x:v>0</x:v>
      </x:c>
      <x:c r="M42" t="n">
        <x:f>'02b n^-1'!C42</x:f>
        <x:v>0</x:v>
      </x:c>
      <x:c r="N42" t="n">
        <x:f>'02b n^-1'!D42</x:f>
        <x:v>0</x:v>
      </x:c>
      <x:c r="O42" t="n">
        <x:f>'02b n^-1'!E42</x:f>
        <x:v>0</x:v>
      </x:c>
      <x:c r="P42" t="n">
        <x:f>'02b n^-1'!F42</x:f>
        <x:v>0</x:v>
      </x:c>
      <x:c r="Q42" t="n">
        <x:f>'02b n^-1'!G42</x:f>
        <x:v>0</x:v>
      </x:c>
      <x:c r="R42" t="n">
        <x:f>'02b n^-1'!H42</x:f>
        <x:v>0</x:v>
      </x:c>
      <x:c r="S42" s="12" t="n">
        <x:f>'02c n^-2'!C42</x:f>
        <x:v>0</x:v>
      </x:c>
      <x:c r="T42" t="n">
        <x:f>'02c n^-2'!D42</x:f>
        <x:v>0</x:v>
      </x:c>
      <x:c r="U42" t="n">
        <x:f>'05 Gate Output'!H42</x:f>
        <x:v>1</x:v>
      </x:c>
      <x:c r="V42" t="n">
        <x:f>'05 Gate Output'!I42</x:f>
        <x:v>0</x:v>
      </x:c>
      <x:c r="W42" t="n">
        <x:f>'05 Gate Output'!J42</x:f>
        <x:v>0</x:v>
      </x:c>
      <x:c r="X42" t="n">
        <x:f>'05 Gate Output'!K42</x:f>
        <x:v>0</x:v>
      </x:c>
      <x:c r="Y42" t="n">
        <x:f>'05 Gate Output'!L42</x:f>
        <x:v>0</x:v>
      </x:c>
      <x:c r="Z42" t="n">
        <x:f>'05 Gate Output'!M42</x:f>
        <x:v>0</x:v>
      </x:c>
    </x:row>
    <x:row r="43">
      <x:c r="A43" t="n">
        <x:f>'01 Sensory Input'!A43</x:f>
        <x:v>2</x:v>
      </x:c>
      <x:c r="B43" t="n">
        <x:f>'01 Sensory Input'!B43</x:f>
        <x:v>18</x:v>
      </x:c>
      <x:c r="C43" s="12" t="n">
        <x:f>'01 Sensory Input'!C43</x:f>
        <x:v>0.47</x:v>
      </x:c>
      <x:c r="D43" s="12" t="n">
        <x:f>'01 Sensory Input'!D43</x:f>
        <x:v>0.48</x:v>
      </x:c>
      <x:c r="E43" s="12" t="n">
        <x:f>'01 Sensory Input'!E43</x:f>
        <x:v>0.28</x:v>
      </x:c>
      <x:c r="F43" s="12" t="n">
        <x:f>'01 Sensory Input'!F43</x:f>
        <x:v>0.24</x:v>
      </x:c>
      <x:c r="G43" s="12" t="n">
        <x:f>'01 Sensory Input'!G43</x:f>
        <x:v>0.34</x:v>
      </x:c>
      <x:c r="H43" t="n">
        <x:f>'02a n'!C43</x:f>
        <x:v>0</x:v>
      </x:c>
      <x:c r="I43" t="n">
        <x:f>'02a n'!D43</x:f>
        <x:v>0</x:v>
      </x:c>
      <x:c r="J43" t="n">
        <x:f>'02a n'!E43</x:f>
        <x:v>0</x:v>
      </x:c>
      <x:c r="K43" t="n">
        <x:f>'02a n'!F43</x:f>
        <x:v>0</x:v>
      </x:c>
      <x:c r="L43" t="n">
        <x:f>'02a n'!G43</x:f>
        <x:v>0</x:v>
      </x:c>
      <x:c r="M43" t="n">
        <x:f>'02b n^-1'!C43</x:f>
        <x:v>0</x:v>
      </x:c>
      <x:c r="N43" t="n">
        <x:f>'02b n^-1'!D43</x:f>
        <x:v>0</x:v>
      </x:c>
      <x:c r="O43" t="n">
        <x:f>'02b n^-1'!E43</x:f>
        <x:v>0</x:v>
      </x:c>
      <x:c r="P43" t="n">
        <x:f>'02b n^-1'!F43</x:f>
        <x:v>0</x:v>
      </x:c>
      <x:c r="Q43" t="n">
        <x:f>'02b n^-1'!G43</x:f>
        <x:v>0</x:v>
      </x:c>
      <x:c r="R43" t="n">
        <x:f>'02b n^-1'!H43</x:f>
        <x:v>0</x:v>
      </x:c>
      <x:c r="S43" s="12" t="n">
        <x:f>'02c n^-2'!C43</x:f>
        <x:v>0</x:v>
      </x:c>
      <x:c r="T43" t="n">
        <x:f>'02c n^-2'!D43</x:f>
        <x:v>0</x:v>
      </x:c>
      <x:c r="U43" t="n">
        <x:f>'05 Gate Output'!H43</x:f>
        <x:v>1</x:v>
      </x:c>
      <x:c r="V43" t="n">
        <x:f>'05 Gate Output'!I43</x:f>
        <x:v>0</x:v>
      </x:c>
      <x:c r="W43" t="n">
        <x:f>'05 Gate Output'!J43</x:f>
        <x:v>0</x:v>
      </x:c>
      <x:c r="X43" t="n">
        <x:f>'05 Gate Output'!K43</x:f>
        <x:v>0</x:v>
      </x:c>
      <x:c r="Y43" t="n">
        <x:f>'05 Gate Output'!L43</x:f>
        <x:v>0</x:v>
      </x:c>
      <x:c r="Z43" t="n">
        <x:f>'05 Gate Output'!M43</x:f>
        <x:v>0</x:v>
      </x:c>
    </x:row>
    <x:row r="44">
      <x:c r="A44" t="n">
        <x:f>'01 Sensory Input'!A44</x:f>
        <x:v>2</x:v>
      </x:c>
      <x:c r="B44" t="n">
        <x:f>'01 Sensory Input'!B44</x:f>
        <x:v>19</x:v>
      </x:c>
      <x:c r="C44" s="12" t="n">
        <x:f>'01 Sensory Input'!C44</x:f>
        <x:v>0.51</x:v>
      </x:c>
      <x:c r="D44" s="12" t="n">
        <x:f>'01 Sensory Input'!D44</x:f>
        <x:v>0.53</x:v>
      </x:c>
      <x:c r="E44" s="12" t="n">
        <x:f>'01 Sensory Input'!E44</x:f>
        <x:v>0.32</x:v>
      </x:c>
      <x:c r="F44" s="12" t="n">
        <x:f>'01 Sensory Input'!F44</x:f>
        <x:v>0.27</x:v>
      </x:c>
      <x:c r="G44" s="12" t="n">
        <x:f>'01 Sensory Input'!G44</x:f>
        <x:v>0.38</x:v>
      </x:c>
      <x:c r="H44" t="n">
        <x:f>'02a n'!C44</x:f>
        <x:v>0</x:v>
      </x:c>
      <x:c r="I44" t="n">
        <x:f>'02a n'!D44</x:f>
        <x:v>0</x:v>
      </x:c>
      <x:c r="J44" t="n">
        <x:f>'02a n'!E44</x:f>
        <x:v>0</x:v>
      </x:c>
      <x:c r="K44" t="n">
        <x:f>'02a n'!F44</x:f>
        <x:v>0</x:v>
      </x:c>
      <x:c r="L44" t="n">
        <x:f>'02a n'!G44</x:f>
        <x:v>0</x:v>
      </x:c>
      <x:c r="M44" t="n">
        <x:f>'02b n^-1'!C44</x:f>
        <x:v>0</x:v>
      </x:c>
      <x:c r="N44" t="n">
        <x:f>'02b n^-1'!D44</x:f>
        <x:v>0</x:v>
      </x:c>
      <x:c r="O44" t="n">
        <x:f>'02b n^-1'!E44</x:f>
        <x:v>0</x:v>
      </x:c>
      <x:c r="P44" t="n">
        <x:f>'02b n^-1'!F44</x:f>
        <x:v>0</x:v>
      </x:c>
      <x:c r="Q44" t="n">
        <x:f>'02b n^-1'!G44</x:f>
        <x:v>0</x:v>
      </x:c>
      <x:c r="R44" t="n">
        <x:f>'02b n^-1'!H44</x:f>
        <x:v>0</x:v>
      </x:c>
      <x:c r="S44" s="12" t="n">
        <x:f>'02c n^-2'!C44</x:f>
        <x:v>0</x:v>
      </x:c>
      <x:c r="T44" t="n">
        <x:f>'02c n^-2'!D44</x:f>
        <x:v>0</x:v>
      </x:c>
      <x:c r="U44" t="n">
        <x:f>'05 Gate Output'!H44</x:f>
        <x:v>1</x:v>
      </x:c>
      <x:c r="V44" t="n">
        <x:f>'05 Gate Output'!I44</x:f>
        <x:v>0</x:v>
      </x:c>
      <x:c r="W44" t="n">
        <x:f>'05 Gate Output'!J44</x:f>
        <x:v>0</x:v>
      </x:c>
      <x:c r="X44" t="n">
        <x:f>'05 Gate Output'!K44</x:f>
        <x:v>0</x:v>
      </x:c>
      <x:c r="Y44" t="n">
        <x:f>'05 Gate Output'!L44</x:f>
        <x:v>0</x:v>
      </x:c>
      <x:c r="Z44" t="n">
        <x:f>'05 Gate Output'!M44</x:f>
        <x:v>0</x:v>
      </x:c>
    </x:row>
    <x:row r="45">
      <x:c r="A45" t="n">
        <x:f>'01 Sensory Input'!A45</x:f>
        <x:v>2</x:v>
      </x:c>
      <x:c r="B45" t="n">
        <x:f>'01 Sensory Input'!B45</x:f>
        <x:v>20</x:v>
      </x:c>
      <x:c r="C45" s="12" t="n">
        <x:f>'01 Sensory Input'!C45</x:f>
        <x:v>0.35</x:v>
      </x:c>
      <x:c r="D45" s="12" t="n">
        <x:f>'01 Sensory Input'!D45</x:f>
        <x:v>0.38</x:v>
      </x:c>
      <x:c r="E45" s="12" t="n">
        <x:f>'01 Sensory Input'!E45</x:f>
        <x:v>0.36</x:v>
      </x:c>
      <x:c r="F45" s="12" t="n">
        <x:f>'01 Sensory Input'!F45</x:f>
        <x:v>0.18</x:v>
      </x:c>
      <x:c r="G45" s="12" t="n">
        <x:f>'01 Sensory Input'!G45</x:f>
        <x:v>0.22</x:v>
      </x:c>
      <x:c r="H45" t="n">
        <x:f>'02a n'!C45</x:f>
        <x:v>0</x:v>
      </x:c>
      <x:c r="I45" t="n">
        <x:f>'02a n'!D45</x:f>
        <x:v>0</x:v>
      </x:c>
      <x:c r="J45" t="n">
        <x:f>'02a n'!E45</x:f>
        <x:v>0</x:v>
      </x:c>
      <x:c r="K45" t="n">
        <x:f>'02a n'!F45</x:f>
        <x:v>0</x:v>
      </x:c>
      <x:c r="L45" t="n">
        <x:f>'02a n'!G45</x:f>
        <x:v>0</x:v>
      </x:c>
      <x:c r="M45" t="n">
        <x:f>'02b n^-1'!C45</x:f>
        <x:v>0</x:v>
      </x:c>
      <x:c r="N45" t="n">
        <x:f>'02b n^-1'!D45</x:f>
        <x:v>0</x:v>
      </x:c>
      <x:c r="O45" t="n">
        <x:f>'02b n^-1'!E45</x:f>
        <x:v>0</x:v>
      </x:c>
      <x:c r="P45" t="n">
        <x:f>'02b n^-1'!F45</x:f>
        <x:v>0</x:v>
      </x:c>
      <x:c r="Q45" t="n">
        <x:f>'02b n^-1'!G45</x:f>
        <x:v>0</x:v>
      </x:c>
      <x:c r="R45" t="n">
        <x:f>'02b n^-1'!H45</x:f>
        <x:v>0</x:v>
      </x:c>
      <x:c r="S45" s="12" t="n">
        <x:f>'02c n^-2'!C45</x:f>
        <x:v>0</x:v>
      </x:c>
      <x:c r="T45" t="n">
        <x:f>'02c n^-2'!D45</x:f>
        <x:v>0</x:v>
      </x:c>
      <x:c r="U45" t="n">
        <x:f>'05 Gate Output'!H45</x:f>
        <x:v>1</x:v>
      </x:c>
      <x:c r="V45" t="n">
        <x:f>'05 Gate Output'!I45</x:f>
        <x:v>0</x:v>
      </x:c>
      <x:c r="W45" t="n">
        <x:f>'05 Gate Output'!J45</x:f>
        <x:v>0</x:v>
      </x:c>
      <x:c r="X45" t="n">
        <x:f>'05 Gate Output'!K45</x:f>
        <x:v>0</x:v>
      </x:c>
      <x:c r="Y45" t="n">
        <x:f>'05 Gate Output'!L45</x:f>
        <x:v>0</x:v>
      </x:c>
      <x:c r="Z45" t="n">
        <x:f>'05 Gate Output'!M45</x:f>
        <x:v>0</x:v>
      </x:c>
    </x:row>
    <x:row r="46">
      <x:c r="A46" t="n">
        <x:f>'01 Sensory Input'!A46</x:f>
        <x:v>3</x:v>
      </x:c>
      <x:c r="B46" t="n">
        <x:f>'01 Sensory Input'!B46</x:f>
        <x:v>1</x:v>
      </x:c>
      <x:c r="C46" s="12" t="n">
        <x:f>'01 Sensory Input'!C46</x:f>
        <x:v>0.38</x:v>
      </x:c>
      <x:c r="D46" s="12" t="n">
        <x:f>'01 Sensory Input'!D46</x:f>
        <x:v>0.46</x:v>
      </x:c>
      <x:c r="E46" s="12" t="n">
        <x:f>'01 Sensory Input'!E46</x:f>
        <x:v>0.29</x:v>
      </x:c>
      <x:c r="F46" s="12" t="n">
        <x:f>'01 Sensory Input'!F46</x:f>
        <x:v>0.22</x:v>
      </x:c>
      <x:c r="G46" s="12" t="n">
        <x:f>'01 Sensory Input'!G46</x:f>
        <x:v>0.33</x:v>
      </x:c>
      <x:c r="H46" t="n">
        <x:f>'02a n'!C46</x:f>
        <x:v>0</x:v>
      </x:c>
      <x:c r="I46" t="n">
        <x:f>'02a n'!D46</x:f>
        <x:v>0</x:v>
      </x:c>
      <x:c r="J46" t="n">
        <x:f>'02a n'!E46</x:f>
        <x:v>0</x:v>
      </x:c>
      <x:c r="K46" t="n">
        <x:f>'02a n'!F46</x:f>
        <x:v>0</x:v>
      </x:c>
      <x:c r="L46" t="n">
        <x:f>'02a n'!G46</x:f>
        <x:v>0</x:v>
      </x:c>
      <x:c r="M46" t="n">
        <x:f>'02b n^-1'!C46</x:f>
        <x:v>0</x:v>
      </x:c>
      <x:c r="N46" t="n">
        <x:f>'02b n^-1'!D46</x:f>
        <x:v>0</x:v>
      </x:c>
      <x:c r="O46" t="n">
        <x:f>'02b n^-1'!E46</x:f>
        <x:v>0</x:v>
      </x:c>
      <x:c r="P46" t="n">
        <x:f>'02b n^-1'!F46</x:f>
        <x:v>0</x:v>
      </x:c>
      <x:c r="Q46" t="n">
        <x:f>'02b n^-1'!G46</x:f>
        <x:v>0</x:v>
      </x:c>
      <x:c r="R46" t="n">
        <x:f>'02b n^-1'!H46</x:f>
        <x:v>0</x:v>
      </x:c>
      <x:c r="S46" s="12" t="n">
        <x:f>'02c n^-2'!C46</x:f>
        <x:v>0</x:v>
      </x:c>
      <x:c r="T46" t="n">
        <x:f>'02c n^-2'!D46</x:f>
        <x:v>0</x:v>
      </x:c>
      <x:c r="U46" t="n">
        <x:f>'05 Gate Output'!H46</x:f>
        <x:v>1</x:v>
      </x:c>
      <x:c r="V46" t="n">
        <x:f>'05 Gate Output'!I46</x:f>
        <x:v>0</x:v>
      </x:c>
      <x:c r="W46" t="n">
        <x:f>'05 Gate Output'!J46</x:f>
        <x:v>0</x:v>
      </x:c>
      <x:c r="X46" t="n">
        <x:f>'05 Gate Output'!K46</x:f>
        <x:v>0</x:v>
      </x:c>
      <x:c r="Y46" t="n">
        <x:f>'05 Gate Output'!L46</x:f>
        <x:v>0</x:v>
      </x:c>
      <x:c r="Z46" t="n">
        <x:f>'05 Gate Output'!M46</x:f>
        <x:v>0</x:v>
      </x:c>
    </x:row>
    <x:row r="47">
      <x:c r="A47" t="n">
        <x:f>'01 Sensory Input'!A47</x:f>
        <x:v>3</x:v>
      </x:c>
      <x:c r="B47" t="n">
        <x:f>'01 Sensory Input'!B47</x:f>
        <x:v>2</x:v>
      </x:c>
      <x:c r="C47" s="12" t="n">
        <x:f>'01 Sensory Input'!C47</x:f>
        <x:v>0.41</x:v>
      </x:c>
      <x:c r="D47" s="12" t="n">
        <x:f>'01 Sensory Input'!D47</x:f>
        <x:v>0.5</x:v>
      </x:c>
      <x:c r="E47" s="12" t="n">
        <x:f>'01 Sensory Input'!E47</x:f>
        <x:v>0.25</x:v>
      </x:c>
      <x:c r="F47" s="12" t="n">
        <x:f>'01 Sensory Input'!F47</x:f>
        <x:v>0.24</x:v>
      </x:c>
      <x:c r="G47" s="12" t="n">
        <x:f>'01 Sensory Input'!G47</x:f>
        <x:v>0.36</x:v>
      </x:c>
      <x:c r="H47" t="n">
        <x:f>'02a n'!C47</x:f>
        <x:v>0</x:v>
      </x:c>
      <x:c r="I47" t="n">
        <x:f>'02a n'!D47</x:f>
        <x:v>0</x:v>
      </x:c>
      <x:c r="J47" t="n">
        <x:f>'02a n'!E47</x:f>
        <x:v>0</x:v>
      </x:c>
      <x:c r="K47" t="n">
        <x:f>'02a n'!F47</x:f>
        <x:v>0</x:v>
      </x:c>
      <x:c r="L47" t="n">
        <x:f>'02a n'!G47</x:f>
        <x:v>0</x:v>
      </x:c>
      <x:c r="M47" t="n">
        <x:f>'02b n^-1'!C47</x:f>
        <x:v>0</x:v>
      </x:c>
      <x:c r="N47" t="n">
        <x:f>'02b n^-1'!D47</x:f>
        <x:v>0</x:v>
      </x:c>
      <x:c r="O47" t="n">
        <x:f>'02b n^-1'!E47</x:f>
        <x:v>0</x:v>
      </x:c>
      <x:c r="P47" t="n">
        <x:f>'02b n^-1'!F47</x:f>
        <x:v>0</x:v>
      </x:c>
      <x:c r="Q47" t="n">
        <x:f>'02b n^-1'!G47</x:f>
        <x:v>0</x:v>
      </x:c>
      <x:c r="R47" t="n">
        <x:f>'02b n^-1'!H47</x:f>
        <x:v>0</x:v>
      </x:c>
      <x:c r="S47" s="12" t="n">
        <x:f>'02c n^-2'!C47</x:f>
        <x:v>0</x:v>
      </x:c>
      <x:c r="T47" t="n">
        <x:f>'02c n^-2'!D47</x:f>
        <x:v>0</x:v>
      </x:c>
      <x:c r="U47" t="n">
        <x:f>'05 Gate Output'!H47</x:f>
        <x:v>1</x:v>
      </x:c>
      <x:c r="V47" t="n">
        <x:f>'05 Gate Output'!I47</x:f>
        <x:v>0</x:v>
      </x:c>
      <x:c r="W47" t="n">
        <x:f>'05 Gate Output'!J47</x:f>
        <x:v>0</x:v>
      </x:c>
      <x:c r="X47" t="n">
        <x:f>'05 Gate Output'!K47</x:f>
        <x:v>0</x:v>
      </x:c>
      <x:c r="Y47" t="n">
        <x:f>'05 Gate Output'!L47</x:f>
        <x:v>0</x:v>
      </x:c>
      <x:c r="Z47" t="n">
        <x:f>'05 Gate Output'!M47</x:f>
        <x:v>0</x:v>
      </x:c>
    </x:row>
    <x:row r="48">
      <x:c r="A48" t="n">
        <x:f>'01 Sensory Input'!A48</x:f>
        <x:v>3</x:v>
      </x:c>
      <x:c r="B48" t="n">
        <x:f>'01 Sensory Input'!B48</x:f>
        <x:v>3</x:v>
      </x:c>
      <x:c r="C48" s="12" t="n">
        <x:f>'01 Sensory Input'!C48</x:f>
        <x:v>0.44</x:v>
      </x:c>
      <x:c r="D48" s="12" t="n">
        <x:f>'01 Sensory Input'!D48</x:f>
        <x:v>0.42</x:v>
      </x:c>
      <x:c r="E48" s="12" t="n">
        <x:f>'01 Sensory Input'!E48</x:f>
        <x:v>0.29</x:v>
      </x:c>
      <x:c r="F48" s="12" t="n">
        <x:f>'01 Sensory Input'!F48</x:f>
        <x:v>0.26</x:v>
      </x:c>
      <x:c r="G48" s="12" t="n">
        <x:f>'01 Sensory Input'!G48</x:f>
        <x:v>0.39</x:v>
      </x:c>
      <x:c r="H48" t="n">
        <x:f>'02a n'!C48</x:f>
        <x:v>0</x:v>
      </x:c>
      <x:c r="I48" t="n">
        <x:f>'02a n'!D48</x:f>
        <x:v>0</x:v>
      </x:c>
      <x:c r="J48" t="n">
        <x:f>'02a n'!E48</x:f>
        <x:v>0</x:v>
      </x:c>
      <x:c r="K48" t="n">
        <x:f>'02a n'!F48</x:f>
        <x:v>0</x:v>
      </x:c>
      <x:c r="L48" t="n">
        <x:f>'02a n'!G48</x:f>
        <x:v>0</x:v>
      </x:c>
      <x:c r="M48" t="n">
        <x:f>'02b n^-1'!C48</x:f>
        <x:v>0</x:v>
      </x:c>
      <x:c r="N48" t="n">
        <x:f>'02b n^-1'!D48</x:f>
        <x:v>0</x:v>
      </x:c>
      <x:c r="O48" t="n">
        <x:f>'02b n^-1'!E48</x:f>
        <x:v>0</x:v>
      </x:c>
      <x:c r="P48" t="n">
        <x:f>'02b n^-1'!F48</x:f>
        <x:v>0</x:v>
      </x:c>
      <x:c r="Q48" t="n">
        <x:f>'02b n^-1'!G48</x:f>
        <x:v>0</x:v>
      </x:c>
      <x:c r="R48" t="n">
        <x:f>'02b n^-1'!H48</x:f>
        <x:v>0</x:v>
      </x:c>
      <x:c r="S48" s="12" t="n">
        <x:f>'02c n^-2'!C48</x:f>
        <x:v>0</x:v>
      </x:c>
      <x:c r="T48" t="n">
        <x:f>'02c n^-2'!D48</x:f>
        <x:v>0</x:v>
      </x:c>
      <x:c r="U48" t="n">
        <x:f>'05 Gate Output'!H48</x:f>
        <x:v>1</x:v>
      </x:c>
      <x:c r="V48" t="n">
        <x:f>'05 Gate Output'!I48</x:f>
        <x:v>0</x:v>
      </x:c>
      <x:c r="W48" t="n">
        <x:f>'05 Gate Output'!J48</x:f>
        <x:v>0</x:v>
      </x:c>
      <x:c r="X48" t="n">
        <x:f>'05 Gate Output'!K48</x:f>
        <x:v>0</x:v>
      </x:c>
      <x:c r="Y48" t="n">
        <x:f>'05 Gate Output'!L48</x:f>
        <x:v>0</x:v>
      </x:c>
      <x:c r="Z48" t="n">
        <x:f>'05 Gate Output'!M48</x:f>
        <x:v>0</x:v>
      </x:c>
    </x:row>
    <x:row r="49">
      <x:c r="A49" t="n">
        <x:f>'01 Sensory Input'!A49</x:f>
        <x:v>3</x:v>
      </x:c>
      <x:c r="B49" t="n">
        <x:f>'01 Sensory Input'!B49</x:f>
        <x:v>4</x:v>
      </x:c>
      <x:c r="C49" s="12" t="n">
        <x:f>'01 Sensory Input'!C49</x:f>
        <x:v>0.35</x:v>
      </x:c>
      <x:c r="D49" s="12" t="n">
        <x:f>'01 Sensory Input'!D49</x:f>
        <x:v>0.46</x:v>
      </x:c>
      <x:c r="E49" s="12" t="n">
        <x:f>'01 Sensory Input'!E49</x:f>
        <x:v>0.25</x:v>
      </x:c>
      <x:c r="F49" s="12" t="n">
        <x:f>'01 Sensory Input'!F49</x:f>
        <x:v>0.28</x:v>
      </x:c>
      <x:c r="G49" s="12" t="n">
        <x:f>'01 Sensory Input'!G49</x:f>
        <x:v>0.3</x:v>
      </x:c>
      <x:c r="H49" t="n">
        <x:f>'02a n'!C49</x:f>
        <x:v>0</x:v>
      </x:c>
      <x:c r="I49" t="n">
        <x:f>'02a n'!D49</x:f>
        <x:v>0</x:v>
      </x:c>
      <x:c r="J49" t="n">
        <x:f>'02a n'!E49</x:f>
        <x:v>0</x:v>
      </x:c>
      <x:c r="K49" t="n">
        <x:f>'02a n'!F49</x:f>
        <x:v>0</x:v>
      </x:c>
      <x:c r="L49" t="n">
        <x:f>'02a n'!G49</x:f>
        <x:v>0</x:v>
      </x:c>
      <x:c r="M49" t="n">
        <x:f>'02b n^-1'!C49</x:f>
        <x:v>0</x:v>
      </x:c>
      <x:c r="N49" t="n">
        <x:f>'02b n^-1'!D49</x:f>
        <x:v>0</x:v>
      </x:c>
      <x:c r="O49" t="n">
        <x:f>'02b n^-1'!E49</x:f>
        <x:v>0</x:v>
      </x:c>
      <x:c r="P49" t="n">
        <x:f>'02b n^-1'!F49</x:f>
        <x:v>0</x:v>
      </x:c>
      <x:c r="Q49" t="n">
        <x:f>'02b n^-1'!G49</x:f>
        <x:v>0</x:v>
      </x:c>
      <x:c r="R49" t="n">
        <x:f>'02b n^-1'!H49</x:f>
        <x:v>0</x:v>
      </x:c>
      <x:c r="S49" s="12" t="n">
        <x:f>'02c n^-2'!C49</x:f>
        <x:v>0</x:v>
      </x:c>
      <x:c r="T49" t="n">
        <x:f>'02c n^-2'!D49</x:f>
        <x:v>0</x:v>
      </x:c>
      <x:c r="U49" t="n">
        <x:f>'05 Gate Output'!H49</x:f>
        <x:v>1</x:v>
      </x:c>
      <x:c r="V49" t="n">
        <x:f>'05 Gate Output'!I49</x:f>
        <x:v>0</x:v>
      </x:c>
      <x:c r="W49" t="n">
        <x:f>'05 Gate Output'!J49</x:f>
        <x:v>0</x:v>
      </x:c>
      <x:c r="X49" t="n">
        <x:f>'05 Gate Output'!K49</x:f>
        <x:v>0</x:v>
      </x:c>
      <x:c r="Y49" t="n">
        <x:f>'05 Gate Output'!L49</x:f>
        <x:v>0</x:v>
      </x:c>
      <x:c r="Z49" t="n">
        <x:f>'05 Gate Output'!M49</x:f>
        <x:v>0</x:v>
      </x:c>
    </x:row>
    <x:row r="50">
      <x:c r="A50" t="n">
        <x:f>'01 Sensory Input'!A50</x:f>
        <x:v>3</x:v>
      </x:c>
      <x:c r="B50" t="n">
        <x:f>'01 Sensory Input'!B50</x:f>
        <x:v>5</x:v>
      </x:c>
      <x:c r="C50" s="12" t="n">
        <x:f>'01 Sensory Input'!C50</x:f>
        <x:v>0.38</x:v>
      </x:c>
      <x:c r="D50" s="12" t="n">
        <x:f>'01 Sensory Input'!D50</x:f>
        <x:v>0.5</x:v>
      </x:c>
      <x:c r="E50" s="12" t="n">
        <x:f>'01 Sensory Input'!E50</x:f>
        <x:v>0.29</x:v>
      </x:c>
      <x:c r="F50" s="12" t="n">
        <x:f>'01 Sensory Input'!F50</x:f>
        <x:v>0.2</x:v>
      </x:c>
      <x:c r="G50" s="12" t="n">
        <x:f>'01 Sensory Input'!G50</x:f>
        <x:v>0.33</x:v>
      </x:c>
      <x:c r="H50" t="n">
        <x:f>'02a n'!C50</x:f>
        <x:v>0</x:v>
      </x:c>
      <x:c r="I50" t="n">
        <x:f>'02a n'!D50</x:f>
        <x:v>0</x:v>
      </x:c>
      <x:c r="J50" t="n">
        <x:f>'02a n'!E50</x:f>
        <x:v>0</x:v>
      </x:c>
      <x:c r="K50" t="n">
        <x:f>'02a n'!F50</x:f>
        <x:v>0</x:v>
      </x:c>
      <x:c r="L50" t="n">
        <x:f>'02a n'!G50</x:f>
        <x:v>0</x:v>
      </x:c>
      <x:c r="M50" t="n">
        <x:f>'02b n^-1'!C50</x:f>
        <x:v>0</x:v>
      </x:c>
      <x:c r="N50" t="n">
        <x:f>'02b n^-1'!D50</x:f>
        <x:v>0</x:v>
      </x:c>
      <x:c r="O50" t="n">
        <x:f>'02b n^-1'!E50</x:f>
        <x:v>0</x:v>
      </x:c>
      <x:c r="P50" t="n">
        <x:f>'02b n^-1'!F50</x:f>
        <x:v>0</x:v>
      </x:c>
      <x:c r="Q50" t="n">
        <x:f>'02b n^-1'!G50</x:f>
        <x:v>0</x:v>
      </x:c>
      <x:c r="R50" t="n">
        <x:f>'02b n^-1'!H50</x:f>
        <x:v>0</x:v>
      </x:c>
      <x:c r="S50" s="12" t="n">
        <x:f>'02c n^-2'!C50</x:f>
        <x:v>0</x:v>
      </x:c>
      <x:c r="T50" t="n">
        <x:f>'02c n^-2'!D50</x:f>
        <x:v>0</x:v>
      </x:c>
      <x:c r="U50" t="n">
        <x:f>'05 Gate Output'!H50</x:f>
        <x:v>1</x:v>
      </x:c>
      <x:c r="V50" t="n">
        <x:f>'05 Gate Output'!I50</x:f>
        <x:v>0</x:v>
      </x:c>
      <x:c r="W50" t="n">
        <x:f>'05 Gate Output'!J50</x:f>
        <x:v>0</x:v>
      </x:c>
      <x:c r="X50" t="n">
        <x:f>'05 Gate Output'!K50</x:f>
        <x:v>0</x:v>
      </x:c>
      <x:c r="Y50" t="n">
        <x:f>'05 Gate Output'!L50</x:f>
        <x:v>0</x:v>
      </x:c>
      <x:c r="Z50" t="n">
        <x:f>'05 Gate Output'!M50</x:f>
        <x:v>0</x:v>
      </x:c>
    </x:row>
    <x:row r="51">
      <x:c r="A51" t="n">
        <x:f>'01 Sensory Input'!A51</x:f>
        <x:v>3</x:v>
      </x:c>
      <x:c r="B51" t="n">
        <x:f>'01 Sensory Input'!B51</x:f>
        <x:v>6</x:v>
      </x:c>
      <x:c r="C51" s="12" t="n">
        <x:f>'01 Sensory Input'!C51</x:f>
        <x:v>0.41</x:v>
      </x:c>
      <x:c r="D51" s="12" t="n">
        <x:f>'01 Sensory Input'!D51</x:f>
        <x:v>0.42</x:v>
      </x:c>
      <x:c r="E51" s="12" t="n">
        <x:f>'01 Sensory Input'!E51</x:f>
        <x:v>0.25</x:v>
      </x:c>
      <x:c r="F51" s="12" t="n">
        <x:f>'01 Sensory Input'!F51</x:f>
        <x:v>0.22</x:v>
      </x:c>
      <x:c r="G51" s="12" t="n">
        <x:f>'01 Sensory Input'!G51</x:f>
        <x:v>0.36</x:v>
      </x:c>
      <x:c r="H51" t="n">
        <x:f>'02a n'!C51</x:f>
        <x:v>0</x:v>
      </x:c>
      <x:c r="I51" t="n">
        <x:f>'02a n'!D51</x:f>
        <x:v>0</x:v>
      </x:c>
      <x:c r="J51" t="n">
        <x:f>'02a n'!E51</x:f>
        <x:v>0</x:v>
      </x:c>
      <x:c r="K51" t="n">
        <x:f>'02a n'!F51</x:f>
        <x:v>0</x:v>
      </x:c>
      <x:c r="L51" t="n">
        <x:f>'02a n'!G51</x:f>
        <x:v>0</x:v>
      </x:c>
      <x:c r="M51" t="n">
        <x:f>'02b n^-1'!C51</x:f>
        <x:v>0</x:v>
      </x:c>
      <x:c r="N51" t="n">
        <x:f>'02b n^-1'!D51</x:f>
        <x:v>0</x:v>
      </x:c>
      <x:c r="O51" t="n">
        <x:f>'02b n^-1'!E51</x:f>
        <x:v>0</x:v>
      </x:c>
      <x:c r="P51" t="n">
        <x:f>'02b n^-1'!F51</x:f>
        <x:v>0</x:v>
      </x:c>
      <x:c r="Q51" t="n">
        <x:f>'02b n^-1'!G51</x:f>
        <x:v>0</x:v>
      </x:c>
      <x:c r="R51" t="n">
        <x:f>'02b n^-1'!H51</x:f>
        <x:v>0</x:v>
      </x:c>
      <x:c r="S51" s="12" t="n">
        <x:f>'02c n^-2'!C51</x:f>
        <x:v>0</x:v>
      </x:c>
      <x:c r="T51" t="n">
        <x:f>'02c n^-2'!D51</x:f>
        <x:v>0</x:v>
      </x:c>
      <x:c r="U51" t="n">
        <x:f>'05 Gate Output'!H51</x:f>
        <x:v>1</x:v>
      </x:c>
      <x:c r="V51" t="n">
        <x:f>'05 Gate Output'!I51</x:f>
        <x:v>0</x:v>
      </x:c>
      <x:c r="W51" t="n">
        <x:f>'05 Gate Output'!J51</x:f>
        <x:v>0</x:v>
      </x:c>
      <x:c r="X51" t="n">
        <x:f>'05 Gate Output'!K51</x:f>
        <x:v>0</x:v>
      </x:c>
      <x:c r="Y51" t="n">
        <x:f>'05 Gate Output'!L51</x:f>
        <x:v>0</x:v>
      </x:c>
      <x:c r="Z51" t="n">
        <x:f>'05 Gate Output'!M51</x:f>
        <x:v>0</x:v>
      </x:c>
    </x:row>
    <x:row r="52">
      <x:c r="A52" t="n">
        <x:f>'01 Sensory Input'!A52</x:f>
        <x:v>3</x:v>
      </x:c>
      <x:c r="B52" t="n">
        <x:f>'01 Sensory Input'!B52</x:f>
        <x:v>7</x:v>
      </x:c>
      <x:c r="C52" s="12" t="n">
        <x:f>'01 Sensory Input'!C52</x:f>
        <x:v>0.44</x:v>
      </x:c>
      <x:c r="D52" s="12" t="n">
        <x:f>'01 Sensory Input'!D52</x:f>
        <x:v>0.46</x:v>
      </x:c>
      <x:c r="E52" s="12" t="n">
        <x:f>'01 Sensory Input'!E52</x:f>
        <x:v>0.29</x:v>
      </x:c>
      <x:c r="F52" s="12" t="n">
        <x:f>'01 Sensory Input'!F52</x:f>
        <x:v>0.24</x:v>
      </x:c>
      <x:c r="G52" s="12" t="n">
        <x:f>'01 Sensory Input'!G52</x:f>
        <x:v>0.39</x:v>
      </x:c>
      <x:c r="H52" t="n">
        <x:f>'02a n'!C52</x:f>
        <x:v>0</x:v>
      </x:c>
      <x:c r="I52" t="n">
        <x:f>'02a n'!D52</x:f>
        <x:v>0</x:v>
      </x:c>
      <x:c r="J52" t="n">
        <x:f>'02a n'!E52</x:f>
        <x:v>0</x:v>
      </x:c>
      <x:c r="K52" t="n">
        <x:f>'02a n'!F52</x:f>
        <x:v>0</x:v>
      </x:c>
      <x:c r="L52" t="n">
        <x:f>'02a n'!G52</x:f>
        <x:v>0</x:v>
      </x:c>
      <x:c r="M52" t="n">
        <x:f>'02b n^-1'!C52</x:f>
        <x:v>0</x:v>
      </x:c>
      <x:c r="N52" t="n">
        <x:f>'02b n^-1'!D52</x:f>
        <x:v>0</x:v>
      </x:c>
      <x:c r="O52" t="n">
        <x:f>'02b n^-1'!E52</x:f>
        <x:v>0</x:v>
      </x:c>
      <x:c r="P52" t="n">
        <x:f>'02b n^-1'!F52</x:f>
        <x:v>0</x:v>
      </x:c>
      <x:c r="Q52" t="n">
        <x:f>'02b n^-1'!G52</x:f>
        <x:v>0</x:v>
      </x:c>
      <x:c r="R52" t="n">
        <x:f>'02b n^-1'!H52</x:f>
        <x:v>0</x:v>
      </x:c>
      <x:c r="S52" s="12" t="n">
        <x:f>'02c n^-2'!C52</x:f>
        <x:v>0</x:v>
      </x:c>
      <x:c r="T52" t="n">
        <x:f>'02c n^-2'!D52</x:f>
        <x:v>0</x:v>
      </x:c>
      <x:c r="U52" t="n">
        <x:f>'05 Gate Output'!H52</x:f>
        <x:v>1</x:v>
      </x:c>
      <x:c r="V52" t="n">
        <x:f>'05 Gate Output'!I52</x:f>
        <x:v>0</x:v>
      </x:c>
      <x:c r="W52" t="n">
        <x:f>'05 Gate Output'!J52</x:f>
        <x:v>0</x:v>
      </x:c>
      <x:c r="X52" t="n">
        <x:f>'05 Gate Output'!K52</x:f>
        <x:v>0</x:v>
      </x:c>
      <x:c r="Y52" t="n">
        <x:f>'05 Gate Output'!L52</x:f>
        <x:v>0</x:v>
      </x:c>
      <x:c r="Z52" t="n">
        <x:f>'05 Gate Output'!M52</x:f>
        <x:v>0</x:v>
      </x:c>
    </x:row>
    <x:row r="53">
      <x:c r="A53" t="n">
        <x:f>'01 Sensory Input'!A53</x:f>
        <x:v>3</x:v>
      </x:c>
      <x:c r="B53" t="n">
        <x:f>'01 Sensory Input'!B53</x:f>
        <x:v>8</x:v>
      </x:c>
      <x:c r="C53" s="12" t="n">
        <x:f>'01 Sensory Input'!C53</x:f>
        <x:v>1</x:v>
      </x:c>
      <x:c r="D53" s="12" t="n">
        <x:f>'01 Sensory Input'!D53</x:f>
        <x:v>0.5</x:v>
      </x:c>
      <x:c r="E53" s="12" t="n">
        <x:f>'01 Sensory Input'!E53</x:f>
        <x:v>0.25</x:v>
      </x:c>
      <x:c r="F53" s="12" t="n">
        <x:f>'01 Sensory Input'!F53</x:f>
        <x:v>0.26</x:v>
      </x:c>
      <x:c r="G53" s="12" t="n">
        <x:f>'01 Sensory Input'!G53</x:f>
        <x:v>0.3</x:v>
      </x:c>
      <x:c r="H53" t="n">
        <x:f>'02a n'!C53</x:f>
        <x:v>1</x:v>
      </x:c>
      <x:c r="I53" t="n">
        <x:f>'02a n'!D53</x:f>
        <x:v>0</x:v>
      </x:c>
      <x:c r="J53" t="n">
        <x:f>'02a n'!E53</x:f>
        <x:v>0</x:v>
      </x:c>
      <x:c r="K53" t="n">
        <x:f>'02a n'!F53</x:f>
        <x:v>0</x:v>
      </x:c>
      <x:c r="L53" t="n">
        <x:f>'02a n'!G53</x:f>
        <x:v>0</x:v>
      </x:c>
      <x:c r="M53" t="n">
        <x:f>'02b n^-1'!C53</x:f>
        <x:v>1</x:v>
      </x:c>
      <x:c r="N53" t="n">
        <x:f>'02b n^-1'!D53</x:f>
        <x:v>0</x:v>
      </x:c>
      <x:c r="O53" t="n">
        <x:f>'02b n^-1'!E53</x:f>
        <x:v>0</x:v>
      </x:c>
      <x:c r="P53" t="n">
        <x:f>'02b n^-1'!F53</x:f>
        <x:v>0</x:v>
      </x:c>
      <x:c r="Q53" t="n">
        <x:f>'02b n^-1'!G53</x:f>
        <x:v>0</x:v>
      </x:c>
      <x:c r="R53" t="n">
        <x:f>'02b n^-1'!H53</x:f>
        <x:v>0</x:v>
      </x:c>
      <x:c r="S53" s="12" t="n">
        <x:f>'02c n^-2'!C53</x:f>
        <x:v>0.16666666666666666</x:v>
      </x:c>
      <x:c r="T53" t="n">
        <x:f>'02c n^-2'!D53</x:f>
        <x:v>1</x:v>
      </x:c>
      <x:c r="U53" t="n">
        <x:f>'05 Gate Output'!H53</x:f>
        <x:v>0</x:v>
      </x:c>
      <x:c r="V53" t="n">
        <x:f>'05 Gate Output'!I53</x:f>
        <x:v>1</x:v>
      </x:c>
      <x:c r="W53" t="n">
        <x:f>'05 Gate Output'!J53</x:f>
        <x:v>1</x:v>
      </x:c>
      <x:c r="X53" t="n">
        <x:f>'05 Gate Output'!K53</x:f>
        <x:v>1</x:v>
      </x:c>
      <x:c r="Y53" t="n">
        <x:f>'05 Gate Output'!L53</x:f>
        <x:v>0</x:v>
      </x:c>
      <x:c r="Z53" t="n">
        <x:f>'05 Gate Output'!M53</x:f>
        <x:v>1</x:v>
      </x:c>
    </x:row>
    <x:row r="54">
      <x:c r="A54" t="n">
        <x:f>'01 Sensory Input'!A54</x:f>
        <x:v>3</x:v>
      </x:c>
      <x:c r="B54" t="n">
        <x:f>'01 Sensory Input'!B54</x:f>
        <x:v>9</x:v>
      </x:c>
      <x:c r="C54" s="12" t="n">
        <x:f>'01 Sensory Input'!C54</x:f>
        <x:v>0.42</x:v>
      </x:c>
      <x:c r="D54" s="12" t="n">
        <x:f>'01 Sensory Input'!D54</x:f>
        <x:v>0.42</x:v>
      </x:c>
      <x:c r="E54" s="12" t="n">
        <x:f>'01 Sensory Input'!E54</x:f>
        <x:v>0.29</x:v>
      </x:c>
      <x:c r="F54" s="12" t="n">
        <x:f>'01 Sensory Input'!F54</x:f>
        <x:v>0.28</x:v>
      </x:c>
      <x:c r="G54" s="12" t="n">
        <x:f>'01 Sensory Input'!G54</x:f>
        <x:v>0.33</x:v>
      </x:c>
      <x:c r="H54" t="n">
        <x:f>'02a n'!C54</x:f>
        <x:v>0</x:v>
      </x:c>
      <x:c r="I54" t="n">
        <x:f>'02a n'!D54</x:f>
        <x:v>0</x:v>
      </x:c>
      <x:c r="J54" t="n">
        <x:f>'02a n'!E54</x:f>
        <x:v>0</x:v>
      </x:c>
      <x:c r="K54" t="n">
        <x:f>'02a n'!F54</x:f>
        <x:v>0</x:v>
      </x:c>
      <x:c r="L54" t="n">
        <x:f>'02a n'!G54</x:f>
        <x:v>0</x:v>
      </x:c>
      <x:c r="M54" t="n">
        <x:f>'02b n^-1'!C54</x:f>
        <x:v>1</x:v>
      </x:c>
      <x:c r="N54" t="n">
        <x:f>'02b n^-1'!D54</x:f>
        <x:v>0</x:v>
      </x:c>
      <x:c r="O54" t="n">
        <x:f>'02b n^-1'!E54</x:f>
        <x:v>0</x:v>
      </x:c>
      <x:c r="P54" t="n">
        <x:f>'02b n^-1'!F54</x:f>
        <x:v>0</x:v>
      </x:c>
      <x:c r="Q54" t="n">
        <x:f>'02b n^-1'!G54</x:f>
        <x:v>0</x:v>
      </x:c>
      <x:c r="R54" t="n">
        <x:f>'02b n^-1'!H54</x:f>
        <x:v>0</x:v>
      </x:c>
      <x:c r="S54" s="12" t="n">
        <x:f>'02c n^-2'!C54</x:f>
        <x:v>0.16666666666666666</x:v>
      </x:c>
      <x:c r="T54" t="n">
        <x:f>'02c n^-2'!D54</x:f>
        <x:v>0</x:v>
      </x:c>
      <x:c r="U54" t="n">
        <x:f>'05 Gate Output'!H54</x:f>
        <x:v>1</x:v>
      </x:c>
      <x:c r="V54" t="n">
        <x:f>'05 Gate Output'!I54</x:f>
        <x:v>0</x:v>
      </x:c>
      <x:c r="W54" t="n">
        <x:f>'05 Gate Output'!J54</x:f>
        <x:v>0</x:v>
      </x:c>
      <x:c r="X54" t="n">
        <x:f>'05 Gate Output'!K54</x:f>
        <x:v>0</x:v>
      </x:c>
      <x:c r="Y54" t="n">
        <x:f>'05 Gate Output'!L54</x:f>
        <x:v>0</x:v>
      </x:c>
      <x:c r="Z54" t="n">
        <x:f>'05 Gate Output'!M54</x:f>
        <x:v>0</x:v>
      </x:c>
    </x:row>
    <x:row r="55">
      <x:c r="A55" t="n">
        <x:f>'01 Sensory Input'!A55</x:f>
        <x:v>3</x:v>
      </x:c>
      <x:c r="B55" t="n">
        <x:f>'01 Sensory Input'!B55</x:f>
        <x:v>10</x:v>
      </x:c>
      <x:c r="C55" s="12" t="n">
        <x:f>'01 Sensory Input'!C55</x:f>
        <x:v>0.41</x:v>
      </x:c>
      <x:c r="D55" s="12" t="n">
        <x:f>'01 Sensory Input'!D55</x:f>
        <x:v>0.46</x:v>
      </x:c>
      <x:c r="E55" s="12" t="n">
        <x:f>'01 Sensory Input'!E55</x:f>
        <x:v>0.25</x:v>
      </x:c>
      <x:c r="F55" s="12" t="n">
        <x:f>'01 Sensory Input'!F55</x:f>
        <x:v>0.2</x:v>
      </x:c>
      <x:c r="G55" s="12" t="n">
        <x:f>'01 Sensory Input'!G55</x:f>
        <x:v>0.36</x:v>
      </x:c>
      <x:c r="H55" t="n">
        <x:f>'02a n'!C55</x:f>
        <x:v>0</x:v>
      </x:c>
      <x:c r="I55" t="n">
        <x:f>'02a n'!D55</x:f>
        <x:v>0</x:v>
      </x:c>
      <x:c r="J55" t="n">
        <x:f>'02a n'!E55</x:f>
        <x:v>0</x:v>
      </x:c>
      <x:c r="K55" t="n">
        <x:f>'02a n'!F55</x:f>
        <x:v>0</x:v>
      </x:c>
      <x:c r="L55" t="n">
        <x:f>'02a n'!G55</x:f>
        <x:v>0</x:v>
      </x:c>
      <x:c r="M55" t="n">
        <x:f>'02b n^-1'!C55</x:f>
        <x:v>0</x:v>
      </x:c>
      <x:c r="N55" t="n">
        <x:f>'02b n^-1'!D55</x:f>
        <x:v>0</x:v>
      </x:c>
      <x:c r="O55" t="n">
        <x:f>'02b n^-1'!E55</x:f>
        <x:v>0</x:v>
      </x:c>
      <x:c r="P55" t="n">
        <x:f>'02b n^-1'!F55</x:f>
        <x:v>0</x:v>
      </x:c>
      <x:c r="Q55" t="n">
        <x:f>'02b n^-1'!G55</x:f>
        <x:v>0</x:v>
      </x:c>
      <x:c r="R55" t="n">
        <x:f>'02b n^-1'!H55</x:f>
        <x:v>0</x:v>
      </x:c>
      <x:c r="S55" s="12" t="n">
        <x:f>'02c n^-2'!C55</x:f>
        <x:v>0</x:v>
      </x:c>
      <x:c r="T55" t="n">
        <x:f>'02c n^-2'!D55</x:f>
        <x:v>1</x:v>
      </x:c>
      <x:c r="U55" t="n">
        <x:f>'05 Gate Output'!H55</x:f>
        <x:v>0</x:v>
      </x:c>
      <x:c r="V55" t="n">
        <x:f>'05 Gate Output'!I55</x:f>
        <x:v>1</x:v>
      </x:c>
      <x:c r="W55" t="n">
        <x:f>'05 Gate Output'!J55</x:f>
        <x:v>1</x:v>
      </x:c>
      <x:c r="X55" t="n">
        <x:f>'05 Gate Output'!K55</x:f>
        <x:v>1</x:v>
      </x:c>
      <x:c r="Y55" t="n">
        <x:f>'05 Gate Output'!L55</x:f>
        <x:v>0</x:v>
      </x:c>
      <x:c r="Z55" t="n">
        <x:f>'05 Gate Output'!M55</x:f>
        <x:v>1</x:v>
      </x:c>
    </x:row>
    <x:row r="56">
      <x:c r="A56" t="n">
        <x:f>'01 Sensory Input'!A56</x:f>
        <x:v>3</x:v>
      </x:c>
      <x:c r="B56" t="n">
        <x:f>'01 Sensory Input'!B56</x:f>
        <x:v>11</x:v>
      </x:c>
      <x:c r="C56" s="12" t="n">
        <x:f>'01 Sensory Input'!C56</x:f>
        <x:v>0.44</x:v>
      </x:c>
      <x:c r="D56" s="12" t="n">
        <x:f>'01 Sensory Input'!D56</x:f>
        <x:v>0.5</x:v>
      </x:c>
      <x:c r="E56" s="12" t="n">
        <x:f>'01 Sensory Input'!E56</x:f>
        <x:v>0.29</x:v>
      </x:c>
      <x:c r="F56" s="12" t="n">
        <x:f>'01 Sensory Input'!F56</x:f>
        <x:v>0.22</x:v>
      </x:c>
      <x:c r="G56" s="12" t="n">
        <x:f>'01 Sensory Input'!G56</x:f>
        <x:v>0.39</x:v>
      </x:c>
      <x:c r="H56" t="n">
        <x:f>'02a n'!C56</x:f>
        <x:v>0</x:v>
      </x:c>
      <x:c r="I56" t="n">
        <x:f>'02a n'!D56</x:f>
        <x:v>0</x:v>
      </x:c>
      <x:c r="J56" t="n">
        <x:f>'02a n'!E56</x:f>
        <x:v>0</x:v>
      </x:c>
      <x:c r="K56" t="n">
        <x:f>'02a n'!F56</x:f>
        <x:v>0</x:v>
      </x:c>
      <x:c r="L56" t="n">
        <x:f>'02a n'!G56</x:f>
        <x:v>0</x:v>
      </x:c>
      <x:c r="M56" t="n">
        <x:f>'02b n^-1'!C56</x:f>
        <x:v>0</x:v>
      </x:c>
      <x:c r="N56" t="n">
        <x:f>'02b n^-1'!D56</x:f>
        <x:v>0</x:v>
      </x:c>
      <x:c r="O56" t="n">
        <x:f>'02b n^-1'!E56</x:f>
        <x:v>0</x:v>
      </x:c>
      <x:c r="P56" t="n">
        <x:f>'02b n^-1'!F56</x:f>
        <x:v>0</x:v>
      </x:c>
      <x:c r="Q56" t="n">
        <x:f>'02b n^-1'!G56</x:f>
        <x:v>0</x:v>
      </x:c>
      <x:c r="R56" t="n">
        <x:f>'02b n^-1'!H56</x:f>
        <x:v>0</x:v>
      </x:c>
      <x:c r="S56" s="12" t="n">
        <x:f>'02c n^-2'!C56</x:f>
        <x:v>0</x:v>
      </x:c>
      <x:c r="T56" t="n">
        <x:f>'02c n^-2'!D56</x:f>
        <x:v>0</x:v>
      </x:c>
      <x:c r="U56" t="n">
        <x:f>'05 Gate Output'!H56</x:f>
        <x:v>1</x:v>
      </x:c>
      <x:c r="V56" t="n">
        <x:f>'05 Gate Output'!I56</x:f>
        <x:v>0</x:v>
      </x:c>
      <x:c r="W56" t="n">
        <x:f>'05 Gate Output'!J56</x:f>
        <x:v>0</x:v>
      </x:c>
      <x:c r="X56" t="n">
        <x:f>'05 Gate Output'!K56</x:f>
        <x:v>0</x:v>
      </x:c>
      <x:c r="Y56" t="n">
        <x:f>'05 Gate Output'!L56</x:f>
        <x:v>0</x:v>
      </x:c>
      <x:c r="Z56" t="n">
        <x:f>'05 Gate Output'!M56</x:f>
        <x:v>0</x:v>
      </x:c>
    </x:row>
    <x:row r="57">
      <x:c r="A57" t="n">
        <x:f>'01 Sensory Input'!A57</x:f>
        <x:v>3</x:v>
      </x:c>
      <x:c r="B57" t="n">
        <x:f>'01 Sensory Input'!B57</x:f>
        <x:v>12</x:v>
      </x:c>
      <x:c r="C57" s="12" t="n">
        <x:f>'01 Sensory Input'!C57</x:f>
        <x:v>0.35</x:v>
      </x:c>
      <x:c r="D57" s="12" t="n">
        <x:f>'01 Sensory Input'!D57</x:f>
        <x:v>0.42</x:v>
      </x:c>
      <x:c r="E57" s="12" t="n">
        <x:f>'01 Sensory Input'!E57</x:f>
        <x:v>0.25</x:v>
      </x:c>
      <x:c r="F57" s="12" t="n">
        <x:f>'01 Sensory Input'!F57</x:f>
        <x:v>0.24</x:v>
      </x:c>
      <x:c r="G57" s="12" t="n">
        <x:f>'01 Sensory Input'!G57</x:f>
        <x:v>0.3</x:v>
      </x:c>
      <x:c r="H57" t="n">
        <x:f>'02a n'!C57</x:f>
        <x:v>0</x:v>
      </x:c>
      <x:c r="I57" t="n">
        <x:f>'02a n'!D57</x:f>
        <x:v>0</x:v>
      </x:c>
      <x:c r="J57" t="n">
        <x:f>'02a n'!E57</x:f>
        <x:v>0</x:v>
      </x:c>
      <x:c r="K57" t="n">
        <x:f>'02a n'!F57</x:f>
        <x:v>0</x:v>
      </x:c>
      <x:c r="L57" t="n">
        <x:f>'02a n'!G57</x:f>
        <x:v>0</x:v>
      </x:c>
      <x:c r="M57" t="n">
        <x:f>'02b n^-1'!C57</x:f>
        <x:v>0</x:v>
      </x:c>
      <x:c r="N57" t="n">
        <x:f>'02b n^-1'!D57</x:f>
        <x:v>0</x:v>
      </x:c>
      <x:c r="O57" t="n">
        <x:f>'02b n^-1'!E57</x:f>
        <x:v>0</x:v>
      </x:c>
      <x:c r="P57" t="n">
        <x:f>'02b n^-1'!F57</x:f>
        <x:v>0</x:v>
      </x:c>
      <x:c r="Q57" t="n">
        <x:f>'02b n^-1'!G57</x:f>
        <x:v>0</x:v>
      </x:c>
      <x:c r="R57" t="n">
        <x:f>'02b n^-1'!H57</x:f>
        <x:v>0</x:v>
      </x:c>
      <x:c r="S57" s="12" t="n">
        <x:f>'02c n^-2'!C57</x:f>
        <x:v>0</x:v>
      </x:c>
      <x:c r="T57" t="n">
        <x:f>'02c n^-2'!D57</x:f>
        <x:v>0</x:v>
      </x:c>
      <x:c r="U57" t="n">
        <x:f>'05 Gate Output'!H57</x:f>
        <x:v>1</x:v>
      </x:c>
      <x:c r="V57" t="n">
        <x:f>'05 Gate Output'!I57</x:f>
        <x:v>0</x:v>
      </x:c>
      <x:c r="W57" t="n">
        <x:f>'05 Gate Output'!J57</x:f>
        <x:v>0</x:v>
      </x:c>
      <x:c r="X57" t="n">
        <x:f>'05 Gate Output'!K57</x:f>
        <x:v>0</x:v>
      </x:c>
      <x:c r="Y57" t="n">
        <x:f>'05 Gate Output'!L57</x:f>
        <x:v>0</x:v>
      </x:c>
      <x:c r="Z57" t="n">
        <x:f>'05 Gate Output'!M57</x:f>
        <x:v>0</x:v>
      </x:c>
    </x:row>
    <x:row r="58">
      <x:c r="A58" t="n">
        <x:f>'01 Sensory Input'!A58</x:f>
        <x:v>3</x:v>
      </x:c>
      <x:c r="B58" t="n">
        <x:f>'01 Sensory Input'!B58</x:f>
        <x:v>13</x:v>
      </x:c>
      <x:c r="C58" s="12" t="n">
        <x:f>'01 Sensory Input'!C58</x:f>
        <x:v>0.38</x:v>
      </x:c>
      <x:c r="D58" s="12" t="n">
        <x:f>'01 Sensory Input'!D58</x:f>
        <x:v>0.46</x:v>
      </x:c>
      <x:c r="E58" s="12" t="n">
        <x:f>'01 Sensory Input'!E58</x:f>
        <x:v>0.29</x:v>
      </x:c>
      <x:c r="F58" s="12" t="n">
        <x:f>'01 Sensory Input'!F58</x:f>
        <x:v>0.26</x:v>
      </x:c>
      <x:c r="G58" s="12" t="n">
        <x:f>'01 Sensory Input'!G58</x:f>
        <x:v>0.33</x:v>
      </x:c>
      <x:c r="H58" t="n">
        <x:f>'02a n'!C58</x:f>
        <x:v>0</x:v>
      </x:c>
      <x:c r="I58" t="n">
        <x:f>'02a n'!D58</x:f>
        <x:v>0</x:v>
      </x:c>
      <x:c r="J58" t="n">
        <x:f>'02a n'!E58</x:f>
        <x:v>0</x:v>
      </x:c>
      <x:c r="K58" t="n">
        <x:f>'02a n'!F58</x:f>
        <x:v>0</x:v>
      </x:c>
      <x:c r="L58" t="n">
        <x:f>'02a n'!G58</x:f>
        <x:v>0</x:v>
      </x:c>
      <x:c r="M58" t="n">
        <x:f>'02b n^-1'!C58</x:f>
        <x:v>0</x:v>
      </x:c>
      <x:c r="N58" t="n">
        <x:f>'02b n^-1'!D58</x:f>
        <x:v>0</x:v>
      </x:c>
      <x:c r="O58" t="n">
        <x:f>'02b n^-1'!E58</x:f>
        <x:v>0</x:v>
      </x:c>
      <x:c r="P58" t="n">
        <x:f>'02b n^-1'!F58</x:f>
        <x:v>0</x:v>
      </x:c>
      <x:c r="Q58" t="n">
        <x:f>'02b n^-1'!G58</x:f>
        <x:v>0</x:v>
      </x:c>
      <x:c r="R58" t="n">
        <x:f>'02b n^-1'!H58</x:f>
        <x:v>0</x:v>
      </x:c>
      <x:c r="S58" s="12" t="n">
        <x:f>'02c n^-2'!C58</x:f>
        <x:v>0</x:v>
      </x:c>
      <x:c r="T58" t="n">
        <x:f>'02c n^-2'!D58</x:f>
        <x:v>0</x:v>
      </x:c>
      <x:c r="U58" t="n">
        <x:f>'05 Gate Output'!H58</x:f>
        <x:v>1</x:v>
      </x:c>
      <x:c r="V58" t="n">
        <x:f>'05 Gate Output'!I58</x:f>
        <x:v>0</x:v>
      </x:c>
      <x:c r="W58" t="n">
        <x:f>'05 Gate Output'!J58</x:f>
        <x:v>0</x:v>
      </x:c>
      <x:c r="X58" t="n">
        <x:f>'05 Gate Output'!K58</x:f>
        <x:v>0</x:v>
      </x:c>
      <x:c r="Y58" t="n">
        <x:f>'05 Gate Output'!L58</x:f>
        <x:v>0</x:v>
      </x:c>
      <x:c r="Z58" t="n">
        <x:f>'05 Gate Output'!M58</x:f>
        <x:v>0</x:v>
      </x:c>
    </x:row>
    <x:row r="59">
      <x:c r="A59" t="n">
        <x:f>'01 Sensory Input'!A59</x:f>
        <x:v>3</x:v>
      </x:c>
      <x:c r="B59" t="n">
        <x:f>'01 Sensory Input'!B59</x:f>
        <x:v>14</x:v>
      </x:c>
      <x:c r="C59" s="12" t="n">
        <x:f>'01 Sensory Input'!C59</x:f>
        <x:v>0.41</x:v>
      </x:c>
      <x:c r="D59" s="12" t="n">
        <x:f>'01 Sensory Input'!D59</x:f>
        <x:v>0.5</x:v>
      </x:c>
      <x:c r="E59" s="12" t="n">
        <x:f>'01 Sensory Input'!E59</x:f>
        <x:v>0.25</x:v>
      </x:c>
      <x:c r="F59" s="12" t="n">
        <x:f>'01 Sensory Input'!F59</x:f>
        <x:v>0.28</x:v>
      </x:c>
      <x:c r="G59" s="12" t="n">
        <x:f>'01 Sensory Input'!G59</x:f>
        <x:v>0.36</x:v>
      </x:c>
      <x:c r="H59" t="n">
        <x:f>'02a n'!C59</x:f>
        <x:v>0</x:v>
      </x:c>
      <x:c r="I59" t="n">
        <x:f>'02a n'!D59</x:f>
        <x:v>0</x:v>
      </x:c>
      <x:c r="J59" t="n">
        <x:f>'02a n'!E59</x:f>
        <x:v>0</x:v>
      </x:c>
      <x:c r="K59" t="n">
        <x:f>'02a n'!F59</x:f>
        <x:v>0</x:v>
      </x:c>
      <x:c r="L59" t="n">
        <x:f>'02a n'!G59</x:f>
        <x:v>0</x:v>
      </x:c>
      <x:c r="M59" t="n">
        <x:f>'02b n^-1'!C59</x:f>
        <x:v>0</x:v>
      </x:c>
      <x:c r="N59" t="n">
        <x:f>'02b n^-1'!D59</x:f>
        <x:v>0</x:v>
      </x:c>
      <x:c r="O59" t="n">
        <x:f>'02b n^-1'!E59</x:f>
        <x:v>0</x:v>
      </x:c>
      <x:c r="P59" t="n">
        <x:f>'02b n^-1'!F59</x:f>
        <x:v>0</x:v>
      </x:c>
      <x:c r="Q59" t="n">
        <x:f>'02b n^-1'!G59</x:f>
        <x:v>0</x:v>
      </x:c>
      <x:c r="R59" t="n">
        <x:f>'02b n^-1'!H59</x:f>
        <x:v>0</x:v>
      </x:c>
      <x:c r="S59" s="12" t="n">
        <x:f>'02c n^-2'!C59</x:f>
        <x:v>0</x:v>
      </x:c>
      <x:c r="T59" t="n">
        <x:f>'02c n^-2'!D59</x:f>
        <x:v>0</x:v>
      </x:c>
      <x:c r="U59" t="n">
        <x:f>'05 Gate Output'!H59</x:f>
        <x:v>1</x:v>
      </x:c>
      <x:c r="V59" t="n">
        <x:f>'05 Gate Output'!I59</x:f>
        <x:v>0</x:v>
      </x:c>
      <x:c r="W59" t="n">
        <x:f>'05 Gate Output'!J59</x:f>
        <x:v>0</x:v>
      </x:c>
      <x:c r="X59" t="n">
        <x:f>'05 Gate Output'!K59</x:f>
        <x:v>0</x:v>
      </x:c>
      <x:c r="Y59" t="n">
        <x:f>'05 Gate Output'!L59</x:f>
        <x:v>0</x:v>
      </x:c>
      <x:c r="Z59" t="n">
        <x:f>'05 Gate Output'!M59</x:f>
        <x:v>0</x:v>
      </x:c>
    </x:row>
    <x:row r="60">
      <x:c r="A60" t="n">
        <x:f>'01 Sensory Input'!A60</x:f>
        <x:v>3</x:v>
      </x:c>
      <x:c r="B60" t="n">
        <x:f>'01 Sensory Input'!B60</x:f>
        <x:v>15</x:v>
      </x:c>
      <x:c r="C60" s="12" t="n">
        <x:f>'01 Sensory Input'!C60</x:f>
        <x:v>0.44</x:v>
      </x:c>
      <x:c r="D60" s="12" t="n">
        <x:f>'01 Sensory Input'!D60</x:f>
        <x:v>0.42</x:v>
      </x:c>
      <x:c r="E60" s="12" t="n">
        <x:f>'01 Sensory Input'!E60</x:f>
        <x:v>0.29</x:v>
      </x:c>
      <x:c r="F60" s="12" t="n">
        <x:f>'01 Sensory Input'!F60</x:f>
        <x:v>0.2</x:v>
      </x:c>
      <x:c r="G60" s="12" t="n">
        <x:f>'01 Sensory Input'!G60</x:f>
        <x:v>0.39</x:v>
      </x:c>
      <x:c r="H60" t="n">
        <x:f>'02a n'!C60</x:f>
        <x:v>0</x:v>
      </x:c>
      <x:c r="I60" t="n">
        <x:f>'02a n'!D60</x:f>
        <x:v>0</x:v>
      </x:c>
      <x:c r="J60" t="n">
        <x:f>'02a n'!E60</x:f>
        <x:v>0</x:v>
      </x:c>
      <x:c r="K60" t="n">
        <x:f>'02a n'!F60</x:f>
        <x:v>0</x:v>
      </x:c>
      <x:c r="L60" t="n">
        <x:f>'02a n'!G60</x:f>
        <x:v>0</x:v>
      </x:c>
      <x:c r="M60" t="n">
        <x:f>'02b n^-1'!C60</x:f>
        <x:v>0</x:v>
      </x:c>
      <x:c r="N60" t="n">
        <x:f>'02b n^-1'!D60</x:f>
        <x:v>0</x:v>
      </x:c>
      <x:c r="O60" t="n">
        <x:f>'02b n^-1'!E60</x:f>
        <x:v>0</x:v>
      </x:c>
      <x:c r="P60" t="n">
        <x:f>'02b n^-1'!F60</x:f>
        <x:v>0</x:v>
      </x:c>
      <x:c r="Q60" t="n">
        <x:f>'02b n^-1'!G60</x:f>
        <x:v>0</x:v>
      </x:c>
      <x:c r="R60" t="n">
        <x:f>'02b n^-1'!H60</x:f>
        <x:v>0</x:v>
      </x:c>
      <x:c r="S60" s="12" t="n">
        <x:f>'02c n^-2'!C60</x:f>
        <x:v>0</x:v>
      </x:c>
      <x:c r="T60" t="n">
        <x:f>'02c n^-2'!D60</x:f>
        <x:v>0</x:v>
      </x:c>
      <x:c r="U60" t="n">
        <x:f>'05 Gate Output'!H60</x:f>
        <x:v>1</x:v>
      </x:c>
      <x:c r="V60" t="n">
        <x:f>'05 Gate Output'!I60</x:f>
        <x:v>0</x:v>
      </x:c>
      <x:c r="W60" t="n">
        <x:f>'05 Gate Output'!J60</x:f>
        <x:v>0</x:v>
      </x:c>
      <x:c r="X60" t="n">
        <x:f>'05 Gate Output'!K60</x:f>
        <x:v>0</x:v>
      </x:c>
      <x:c r="Y60" t="n">
        <x:f>'05 Gate Output'!L60</x:f>
        <x:v>0</x:v>
      </x:c>
      <x:c r="Z60" t="n">
        <x:f>'05 Gate Output'!M60</x:f>
        <x:v>0</x:v>
      </x:c>
    </x:row>
    <x:row r="61">
      <x:c r="A61" t="n">
        <x:f>'01 Sensory Input'!A61</x:f>
        <x:v>3</x:v>
      </x:c>
      <x:c r="B61" t="n">
        <x:f>'01 Sensory Input'!B61</x:f>
        <x:v>16</x:v>
      </x:c>
      <x:c r="C61" s="12" t="n">
        <x:f>'01 Sensory Input'!C61</x:f>
        <x:v>0.35</x:v>
      </x:c>
      <x:c r="D61" s="12" t="n">
        <x:f>'01 Sensory Input'!D61</x:f>
        <x:v>0.46</x:v>
      </x:c>
      <x:c r="E61" s="12" t="n">
        <x:f>'01 Sensory Input'!E61</x:f>
        <x:v>0.25</x:v>
      </x:c>
      <x:c r="F61" s="12" t="n">
        <x:f>'01 Sensory Input'!F61</x:f>
        <x:v>0.22</x:v>
      </x:c>
      <x:c r="G61" s="12" t="n">
        <x:f>'01 Sensory Input'!G61</x:f>
        <x:v>0.3</x:v>
      </x:c>
      <x:c r="H61" t="n">
        <x:f>'02a n'!C61</x:f>
        <x:v>0</x:v>
      </x:c>
      <x:c r="I61" t="n">
        <x:f>'02a n'!D61</x:f>
        <x:v>0</x:v>
      </x:c>
      <x:c r="J61" t="n">
        <x:f>'02a n'!E61</x:f>
        <x:v>0</x:v>
      </x:c>
      <x:c r="K61" t="n">
        <x:f>'02a n'!F61</x:f>
        <x:v>0</x:v>
      </x:c>
      <x:c r="L61" t="n">
        <x:f>'02a n'!G61</x:f>
        <x:v>0</x:v>
      </x:c>
      <x:c r="M61" t="n">
        <x:f>'02b n^-1'!C61</x:f>
        <x:v>0</x:v>
      </x:c>
      <x:c r="N61" t="n">
        <x:f>'02b n^-1'!D61</x:f>
        <x:v>0</x:v>
      </x:c>
      <x:c r="O61" t="n">
        <x:f>'02b n^-1'!E61</x:f>
        <x:v>0</x:v>
      </x:c>
      <x:c r="P61" t="n">
        <x:f>'02b n^-1'!F61</x:f>
        <x:v>0</x:v>
      </x:c>
      <x:c r="Q61" t="n">
        <x:f>'02b n^-1'!G61</x:f>
        <x:v>0</x:v>
      </x:c>
      <x:c r="R61" t="n">
        <x:f>'02b n^-1'!H61</x:f>
        <x:v>0</x:v>
      </x:c>
      <x:c r="S61" s="12" t="n">
        <x:f>'02c n^-2'!C61</x:f>
        <x:v>0</x:v>
      </x:c>
      <x:c r="T61" t="n">
        <x:f>'02c n^-2'!D61</x:f>
        <x:v>0</x:v>
      </x:c>
      <x:c r="U61" t="n">
        <x:f>'05 Gate Output'!H61</x:f>
        <x:v>1</x:v>
      </x:c>
      <x:c r="V61" t="n">
        <x:f>'05 Gate Output'!I61</x:f>
        <x:v>0</x:v>
      </x:c>
      <x:c r="W61" t="n">
        <x:f>'05 Gate Output'!J61</x:f>
        <x:v>0</x:v>
      </x:c>
      <x:c r="X61" t="n">
        <x:f>'05 Gate Output'!K61</x:f>
        <x:v>0</x:v>
      </x:c>
      <x:c r="Y61" t="n">
        <x:f>'05 Gate Output'!L61</x:f>
        <x:v>0</x:v>
      </x:c>
      <x:c r="Z61" t="n">
        <x:f>'05 Gate Output'!M61</x:f>
        <x:v>0</x:v>
      </x:c>
    </x:row>
    <x:row r="62">
      <x:c r="A62" t="n">
        <x:f>'01 Sensory Input'!A62</x:f>
        <x:v>3</x:v>
      </x:c>
      <x:c r="B62" t="n">
        <x:f>'01 Sensory Input'!B62</x:f>
        <x:v>17</x:v>
      </x:c>
      <x:c r="C62" s="12" t="n">
        <x:f>'01 Sensory Input'!C62</x:f>
        <x:v>0.38</x:v>
      </x:c>
      <x:c r="D62" s="12" t="n">
        <x:f>'01 Sensory Input'!D62</x:f>
        <x:v>0.5</x:v>
      </x:c>
      <x:c r="E62" s="12" t="n">
        <x:f>'01 Sensory Input'!E62</x:f>
        <x:v>0.29</x:v>
      </x:c>
      <x:c r="F62" s="12" t="n">
        <x:f>'01 Sensory Input'!F62</x:f>
        <x:v>0.24</x:v>
      </x:c>
      <x:c r="G62" s="12" t="n">
        <x:f>'01 Sensory Input'!G62</x:f>
        <x:v>0.33</x:v>
      </x:c>
      <x:c r="H62" t="n">
        <x:f>'02a n'!C62</x:f>
        <x:v>0</x:v>
      </x:c>
      <x:c r="I62" t="n">
        <x:f>'02a n'!D62</x:f>
        <x:v>0</x:v>
      </x:c>
      <x:c r="J62" t="n">
        <x:f>'02a n'!E62</x:f>
        <x:v>0</x:v>
      </x:c>
      <x:c r="K62" t="n">
        <x:f>'02a n'!F62</x:f>
        <x:v>0</x:v>
      </x:c>
      <x:c r="L62" t="n">
        <x:f>'02a n'!G62</x:f>
        <x:v>0</x:v>
      </x:c>
      <x:c r="M62" t="n">
        <x:f>'02b n^-1'!C62</x:f>
        <x:v>0</x:v>
      </x:c>
      <x:c r="N62" t="n">
        <x:f>'02b n^-1'!D62</x:f>
        <x:v>0</x:v>
      </x:c>
      <x:c r="O62" t="n">
        <x:f>'02b n^-1'!E62</x:f>
        <x:v>0</x:v>
      </x:c>
      <x:c r="P62" t="n">
        <x:f>'02b n^-1'!F62</x:f>
        <x:v>0</x:v>
      </x:c>
      <x:c r="Q62" t="n">
        <x:f>'02b n^-1'!G62</x:f>
        <x:v>0</x:v>
      </x:c>
      <x:c r="R62" t="n">
        <x:f>'02b n^-1'!H62</x:f>
        <x:v>0</x:v>
      </x:c>
      <x:c r="S62" s="12" t="n">
        <x:f>'02c n^-2'!C62</x:f>
        <x:v>0</x:v>
      </x:c>
      <x:c r="T62" t="n">
        <x:f>'02c n^-2'!D62</x:f>
        <x:v>0</x:v>
      </x:c>
      <x:c r="U62" t="n">
        <x:f>'05 Gate Output'!H62</x:f>
        <x:v>1</x:v>
      </x:c>
      <x:c r="V62" t="n">
        <x:f>'05 Gate Output'!I62</x:f>
        <x:v>0</x:v>
      </x:c>
      <x:c r="W62" t="n">
        <x:f>'05 Gate Output'!J62</x:f>
        <x:v>0</x:v>
      </x:c>
      <x:c r="X62" t="n">
        <x:f>'05 Gate Output'!K62</x:f>
        <x:v>0</x:v>
      </x:c>
      <x:c r="Y62" t="n">
        <x:f>'05 Gate Output'!L62</x:f>
        <x:v>0</x:v>
      </x:c>
      <x:c r="Z62" t="n">
        <x:f>'05 Gate Output'!M62</x:f>
        <x:v>0</x:v>
      </x:c>
    </x:row>
    <x:row r="63">
      <x:c r="A63" t="n">
        <x:f>'01 Sensory Input'!A63</x:f>
        <x:v>3</x:v>
      </x:c>
      <x:c r="B63" t="n">
        <x:f>'01 Sensory Input'!B63</x:f>
        <x:v>18</x:v>
      </x:c>
      <x:c r="C63" s="12" t="n">
        <x:f>'01 Sensory Input'!C63</x:f>
        <x:v>0.41</x:v>
      </x:c>
      <x:c r="D63" s="12" t="n">
        <x:f>'01 Sensory Input'!D63</x:f>
        <x:v>0.42</x:v>
      </x:c>
      <x:c r="E63" s="12" t="n">
        <x:f>'01 Sensory Input'!E63</x:f>
        <x:v>0.25</x:v>
      </x:c>
      <x:c r="F63" s="12" t="n">
        <x:f>'01 Sensory Input'!F63</x:f>
        <x:v>0.26</x:v>
      </x:c>
      <x:c r="G63" s="12" t="n">
        <x:f>'01 Sensory Input'!G63</x:f>
        <x:v>0.36</x:v>
      </x:c>
      <x:c r="H63" t="n">
        <x:f>'02a n'!C63</x:f>
        <x:v>0</x:v>
      </x:c>
      <x:c r="I63" t="n">
        <x:f>'02a n'!D63</x:f>
        <x:v>0</x:v>
      </x:c>
      <x:c r="J63" t="n">
        <x:f>'02a n'!E63</x:f>
        <x:v>0</x:v>
      </x:c>
      <x:c r="K63" t="n">
        <x:f>'02a n'!F63</x:f>
        <x:v>0</x:v>
      </x:c>
      <x:c r="L63" t="n">
        <x:f>'02a n'!G63</x:f>
        <x:v>0</x:v>
      </x:c>
      <x:c r="M63" t="n">
        <x:f>'02b n^-1'!C63</x:f>
        <x:v>0</x:v>
      </x:c>
      <x:c r="N63" t="n">
        <x:f>'02b n^-1'!D63</x:f>
        <x:v>0</x:v>
      </x:c>
      <x:c r="O63" t="n">
        <x:f>'02b n^-1'!E63</x:f>
        <x:v>0</x:v>
      </x:c>
      <x:c r="P63" t="n">
        <x:f>'02b n^-1'!F63</x:f>
        <x:v>0</x:v>
      </x:c>
      <x:c r="Q63" t="n">
        <x:f>'02b n^-1'!G63</x:f>
        <x:v>0</x:v>
      </x:c>
      <x:c r="R63" t="n">
        <x:f>'02b n^-1'!H63</x:f>
        <x:v>0</x:v>
      </x:c>
      <x:c r="S63" s="12" t="n">
        <x:f>'02c n^-2'!C63</x:f>
        <x:v>0</x:v>
      </x:c>
      <x:c r="T63" t="n">
        <x:f>'02c n^-2'!D63</x:f>
        <x:v>0</x:v>
      </x:c>
      <x:c r="U63" t="n">
        <x:f>'05 Gate Output'!H63</x:f>
        <x:v>1</x:v>
      </x:c>
      <x:c r="V63" t="n">
        <x:f>'05 Gate Output'!I63</x:f>
        <x:v>0</x:v>
      </x:c>
      <x:c r="W63" t="n">
        <x:f>'05 Gate Output'!J63</x:f>
        <x:v>0</x:v>
      </x:c>
      <x:c r="X63" t="n">
        <x:f>'05 Gate Output'!K63</x:f>
        <x:v>0</x:v>
      </x:c>
      <x:c r="Y63" t="n">
        <x:f>'05 Gate Output'!L63</x:f>
        <x:v>0</x:v>
      </x:c>
      <x:c r="Z63" t="n">
        <x:f>'05 Gate Output'!M63</x:f>
        <x:v>0</x:v>
      </x:c>
    </x:row>
    <x:row r="64">
      <x:c r="A64" t="n">
        <x:f>'01 Sensory Input'!A64</x:f>
        <x:v>3</x:v>
      </x:c>
      <x:c r="B64" t="n">
        <x:f>'01 Sensory Input'!B64</x:f>
        <x:v>19</x:v>
      </x:c>
      <x:c r="C64" s="12" t="n">
        <x:f>'01 Sensory Input'!C64</x:f>
        <x:v>0.44</x:v>
      </x:c>
      <x:c r="D64" s="12" t="n">
        <x:f>'01 Sensory Input'!D64</x:f>
        <x:v>0.46</x:v>
      </x:c>
      <x:c r="E64" s="12" t="n">
        <x:f>'01 Sensory Input'!E64</x:f>
        <x:v>0.29</x:v>
      </x:c>
      <x:c r="F64" s="12" t="n">
        <x:f>'01 Sensory Input'!F64</x:f>
        <x:v>0.28</x:v>
      </x:c>
      <x:c r="G64" s="12" t="n">
        <x:f>'01 Sensory Input'!G64</x:f>
        <x:v>0.39</x:v>
      </x:c>
      <x:c r="H64" t="n">
        <x:f>'02a n'!C64</x:f>
        <x:v>0</x:v>
      </x:c>
      <x:c r="I64" t="n">
        <x:f>'02a n'!D64</x:f>
        <x:v>0</x:v>
      </x:c>
      <x:c r="J64" t="n">
        <x:f>'02a n'!E64</x:f>
        <x:v>0</x:v>
      </x:c>
      <x:c r="K64" t="n">
        <x:f>'02a n'!F64</x:f>
        <x:v>0</x:v>
      </x:c>
      <x:c r="L64" t="n">
        <x:f>'02a n'!G64</x:f>
        <x:v>0</x:v>
      </x:c>
      <x:c r="M64" t="n">
        <x:f>'02b n^-1'!C64</x:f>
        <x:v>0</x:v>
      </x:c>
      <x:c r="N64" t="n">
        <x:f>'02b n^-1'!D64</x:f>
        <x:v>0</x:v>
      </x:c>
      <x:c r="O64" t="n">
        <x:f>'02b n^-1'!E64</x:f>
        <x:v>0</x:v>
      </x:c>
      <x:c r="P64" t="n">
        <x:f>'02b n^-1'!F64</x:f>
        <x:v>0</x:v>
      </x:c>
      <x:c r="Q64" t="n">
        <x:f>'02b n^-1'!G64</x:f>
        <x:v>0</x:v>
      </x:c>
      <x:c r="R64" t="n">
        <x:f>'02b n^-1'!H64</x:f>
        <x:v>0</x:v>
      </x:c>
      <x:c r="S64" s="12" t="n">
        <x:f>'02c n^-2'!C64</x:f>
        <x:v>0</x:v>
      </x:c>
      <x:c r="T64" t="n">
        <x:f>'02c n^-2'!D64</x:f>
        <x:v>0</x:v>
      </x:c>
      <x:c r="U64" t="n">
        <x:f>'05 Gate Output'!H64</x:f>
        <x:v>1</x:v>
      </x:c>
      <x:c r="V64" t="n">
        <x:f>'05 Gate Output'!I64</x:f>
        <x:v>0</x:v>
      </x:c>
      <x:c r="W64" t="n">
        <x:f>'05 Gate Output'!J64</x:f>
        <x:v>0</x:v>
      </x:c>
      <x:c r="X64" t="n">
        <x:f>'05 Gate Output'!K64</x:f>
        <x:v>0</x:v>
      </x:c>
      <x:c r="Y64" t="n">
        <x:f>'05 Gate Output'!L64</x:f>
        <x:v>0</x:v>
      </x:c>
      <x:c r="Z64" t="n">
        <x:f>'05 Gate Output'!M64</x:f>
        <x:v>0</x:v>
      </x:c>
    </x:row>
    <x:row r="65">
      <x:c r="A65" t="n">
        <x:f>'01 Sensory Input'!A65</x:f>
        <x:v>3</x:v>
      </x:c>
      <x:c r="B65" t="n">
        <x:f>'01 Sensory Input'!B65</x:f>
        <x:v>20</x:v>
      </x:c>
      <x:c r="C65" s="12" t="n">
        <x:f>'01 Sensory Input'!C65</x:f>
        <x:v>0.35</x:v>
      </x:c>
      <x:c r="D65" s="12" t="n">
        <x:f>'01 Sensory Input'!D65</x:f>
        <x:v>0.5</x:v>
      </x:c>
      <x:c r="E65" s="12" t="n">
        <x:f>'01 Sensory Input'!E65</x:f>
        <x:v>0.25</x:v>
      </x:c>
      <x:c r="F65" s="12" t="n">
        <x:f>'01 Sensory Input'!F65</x:f>
        <x:v>0.2</x:v>
      </x:c>
      <x:c r="G65" s="12" t="n">
        <x:f>'01 Sensory Input'!G65</x:f>
        <x:v>0.3</x:v>
      </x:c>
      <x:c r="H65" t="n">
        <x:f>'02a n'!C65</x:f>
        <x:v>0</x:v>
      </x:c>
      <x:c r="I65" t="n">
        <x:f>'02a n'!D65</x:f>
        <x:v>0</x:v>
      </x:c>
      <x:c r="J65" t="n">
        <x:f>'02a n'!E65</x:f>
        <x:v>0</x:v>
      </x:c>
      <x:c r="K65" t="n">
        <x:f>'02a n'!F65</x:f>
        <x:v>0</x:v>
      </x:c>
      <x:c r="L65" t="n">
        <x:f>'02a n'!G65</x:f>
        <x:v>0</x:v>
      </x:c>
      <x:c r="M65" t="n">
        <x:f>'02b n^-1'!C65</x:f>
        <x:v>0</x:v>
      </x:c>
      <x:c r="N65" t="n">
        <x:f>'02b n^-1'!D65</x:f>
        <x:v>0</x:v>
      </x:c>
      <x:c r="O65" t="n">
        <x:f>'02b n^-1'!E65</x:f>
        <x:v>0</x:v>
      </x:c>
      <x:c r="P65" t="n">
        <x:f>'02b n^-1'!F65</x:f>
        <x:v>0</x:v>
      </x:c>
      <x:c r="Q65" t="n">
        <x:f>'02b n^-1'!G65</x:f>
        <x:v>0</x:v>
      </x:c>
      <x:c r="R65" t="n">
        <x:f>'02b n^-1'!H65</x:f>
        <x:v>0</x:v>
      </x:c>
      <x:c r="S65" s="12" t="n">
        <x:f>'02c n^-2'!C65</x:f>
        <x:v>0</x:v>
      </x:c>
      <x:c r="T65" t="n">
        <x:f>'02c n^-2'!D65</x:f>
        <x:v>0</x:v>
      </x:c>
      <x:c r="U65" t="n">
        <x:f>'05 Gate Output'!H65</x:f>
        <x:v>1</x:v>
      </x:c>
      <x:c r="V65" t="n">
        <x:f>'05 Gate Output'!I65</x:f>
        <x:v>0</x:v>
      </x:c>
      <x:c r="W65" t="n">
        <x:f>'05 Gate Output'!J65</x:f>
        <x:v>0</x:v>
      </x:c>
      <x:c r="X65" t="n">
        <x:f>'05 Gate Output'!K65</x:f>
        <x:v>0</x:v>
      </x:c>
      <x:c r="Y65" t="n">
        <x:f>'05 Gate Output'!L65</x:f>
        <x:v>0</x:v>
      </x:c>
      <x:c r="Z65" t="n">
        <x:f>'05 Gate Output'!M65</x:f>
        <x:v>0</x:v>
      </x:c>
    </x:row>
    <x:row r="66">
      <x:c r="A66" t="n">
        <x:f>'01 Sensory Input'!A66</x:f>
        <x:v>4</x:v>
      </x:c>
      <x:c r="B66" t="n">
        <x:f>'01 Sensory Input'!B66</x:f>
        <x:v>1</x:v>
      </x:c>
      <x:c r="C66" s="12" t="n">
        <x:f>'01 Sensory Input'!C66</x:f>
        <x:v>0.44</x:v>
      </x:c>
      <x:c r="D66" s="12" t="n">
        <x:f>'01 Sensory Input'!D66</x:f>
        <x:v>0.39</x:v>
      </x:c>
      <x:c r="E66" s="12" t="n">
        <x:f>'01 Sensory Input'!E66</x:f>
        <x:v>0.15</x:v>
      </x:c>
      <x:c r="F66" s="12" t="n">
        <x:f>'01 Sensory Input'!F66</x:f>
        <x:v>0.24</x:v>
      </x:c>
      <x:c r="G66" s="12" t="n">
        <x:f>'01 Sensory Input'!G66</x:f>
        <x:v>0.3</x:v>
      </x:c>
      <x:c r="H66" t="n">
        <x:f>'02a n'!C66</x:f>
        <x:v>0</x:v>
      </x:c>
      <x:c r="I66" t="n">
        <x:f>'02a n'!D66</x:f>
        <x:v>0</x:v>
      </x:c>
      <x:c r="J66" t="n">
        <x:f>'02a n'!E66</x:f>
        <x:v>0</x:v>
      </x:c>
      <x:c r="K66" t="n">
        <x:f>'02a n'!F66</x:f>
        <x:v>0</x:v>
      </x:c>
      <x:c r="L66" t="n">
        <x:f>'02a n'!G66</x:f>
        <x:v>0</x:v>
      </x:c>
      <x:c r="M66" t="n">
        <x:f>'02b n^-1'!C66</x:f>
        <x:v>0</x:v>
      </x:c>
      <x:c r="N66" t="n">
        <x:f>'02b n^-1'!D66</x:f>
        <x:v>0</x:v>
      </x:c>
      <x:c r="O66" t="n">
        <x:f>'02b n^-1'!E66</x:f>
        <x:v>0</x:v>
      </x:c>
      <x:c r="P66" t="n">
        <x:f>'02b n^-1'!F66</x:f>
        <x:v>0</x:v>
      </x:c>
      <x:c r="Q66" t="n">
        <x:f>'02b n^-1'!G66</x:f>
        <x:v>0</x:v>
      </x:c>
      <x:c r="R66" t="n">
        <x:f>'02b n^-1'!H66</x:f>
        <x:v>0</x:v>
      </x:c>
      <x:c r="S66" s="12" t="n">
        <x:f>'02c n^-2'!C66</x:f>
        <x:v>0</x:v>
      </x:c>
      <x:c r="T66" t="n">
        <x:f>'02c n^-2'!D66</x:f>
        <x:v>0</x:v>
      </x:c>
      <x:c r="U66" t="n">
        <x:f>'05 Gate Output'!H66</x:f>
        <x:v>1</x:v>
      </x:c>
      <x:c r="V66" t="n">
        <x:f>'05 Gate Output'!I66</x:f>
        <x:v>0</x:v>
      </x:c>
      <x:c r="W66" t="n">
        <x:f>'05 Gate Output'!J66</x:f>
        <x:v>0</x:v>
      </x:c>
      <x:c r="X66" t="n">
        <x:f>'05 Gate Output'!K66</x:f>
        <x:v>0</x:v>
      </x:c>
      <x:c r="Y66" t="n">
        <x:f>'05 Gate Output'!L66</x:f>
        <x:v>0</x:v>
      </x:c>
      <x:c r="Z66" t="n">
        <x:f>'05 Gate Output'!M66</x:f>
        <x:v>0</x:v>
      </x:c>
    </x:row>
    <x:row r="67">
      <x:c r="A67" t="n">
        <x:f>'01 Sensory Input'!A67</x:f>
        <x:v>4</x:v>
      </x:c>
      <x:c r="B67" t="n">
        <x:f>'01 Sensory Input'!B67</x:f>
        <x:v>2</x:v>
      </x:c>
      <x:c r="C67" s="12" t="n">
        <x:f>'01 Sensory Input'!C67</x:f>
        <x:v>0.48</x:v>
      </x:c>
      <x:c r="D67" s="12" t="n">
        <x:f>'01 Sensory Input'!D67</x:f>
        <x:v>0.43</x:v>
      </x:c>
      <x:c r="E67" s="12" t="n">
        <x:f>'01 Sensory Input'!E67</x:f>
        <x:v>0.2</x:v>
      </x:c>
      <x:c r="F67" s="12" t="n">
        <x:f>'01 Sensory Input'!F67</x:f>
        <x:v>0.26</x:v>
      </x:c>
      <x:c r="G67" s="12" t="n">
        <x:f>'01 Sensory Input'!G67</x:f>
        <x:v>0.32</x:v>
      </x:c>
      <x:c r="H67" t="n">
        <x:f>'02a n'!C67</x:f>
        <x:v>0</x:v>
      </x:c>
      <x:c r="I67" t="n">
        <x:f>'02a n'!D67</x:f>
        <x:v>0</x:v>
      </x:c>
      <x:c r="J67" t="n">
        <x:f>'02a n'!E67</x:f>
        <x:v>0</x:v>
      </x:c>
      <x:c r="K67" t="n">
        <x:f>'02a n'!F67</x:f>
        <x:v>0</x:v>
      </x:c>
      <x:c r="L67" t="n">
        <x:f>'02a n'!G67</x:f>
        <x:v>0</x:v>
      </x:c>
      <x:c r="M67" t="n">
        <x:f>'02b n^-1'!C67</x:f>
        <x:v>0</x:v>
      </x:c>
      <x:c r="N67" t="n">
        <x:f>'02b n^-1'!D67</x:f>
        <x:v>0</x:v>
      </x:c>
      <x:c r="O67" t="n">
        <x:f>'02b n^-1'!E67</x:f>
        <x:v>0</x:v>
      </x:c>
      <x:c r="P67" t="n">
        <x:f>'02b n^-1'!F67</x:f>
        <x:v>0</x:v>
      </x:c>
      <x:c r="Q67" t="n">
        <x:f>'02b n^-1'!G67</x:f>
        <x:v>0</x:v>
      </x:c>
      <x:c r="R67" t="n">
        <x:f>'02b n^-1'!H67</x:f>
        <x:v>0</x:v>
      </x:c>
      <x:c r="S67" s="12" t="n">
        <x:f>'02c n^-2'!C67</x:f>
        <x:v>0</x:v>
      </x:c>
      <x:c r="T67" t="n">
        <x:f>'02c n^-2'!D67</x:f>
        <x:v>0</x:v>
      </x:c>
      <x:c r="U67" t="n">
        <x:f>'05 Gate Output'!H67</x:f>
        <x:v>1</x:v>
      </x:c>
      <x:c r="V67" t="n">
        <x:f>'05 Gate Output'!I67</x:f>
        <x:v>0</x:v>
      </x:c>
      <x:c r="W67" t="n">
        <x:f>'05 Gate Output'!J67</x:f>
        <x:v>0</x:v>
      </x:c>
      <x:c r="X67" t="n">
        <x:f>'05 Gate Output'!K67</x:f>
        <x:v>0</x:v>
      </x:c>
      <x:c r="Y67" t="n">
        <x:f>'05 Gate Output'!L67</x:f>
        <x:v>0</x:v>
      </x:c>
      <x:c r="Z67" t="n">
        <x:f>'05 Gate Output'!M67</x:f>
        <x:v>0</x:v>
      </x:c>
    </x:row>
    <x:row r="68">
      <x:c r="A68" t="n">
        <x:f>'01 Sensory Input'!A68</x:f>
        <x:v>4</x:v>
      </x:c>
      <x:c r="B68" t="n">
        <x:f>'01 Sensory Input'!B68</x:f>
        <x:v>3</x:v>
      </x:c>
      <x:c r="C68" s="12" t="n">
        <x:f>'01 Sensory Input'!C68</x:f>
        <x:v>0.4</x:v>
      </x:c>
      <x:c r="D68" s="12" t="n">
        <x:f>'01 Sensory Input'!D68</x:f>
        <x:v>0.47</x:v>
      </x:c>
      <x:c r="E68" s="12" t="n">
        <x:f>'01 Sensory Input'!E68</x:f>
        <x:v>0.1</x:v>
      </x:c>
      <x:c r="F68" s="12" t="n">
        <x:f>'01 Sensory Input'!F68</x:f>
        <x:v>0.28</x:v>
      </x:c>
      <x:c r="G68" s="12" t="n">
        <x:f>'01 Sensory Input'!G68</x:f>
        <x:v>0.34</x:v>
      </x:c>
      <x:c r="H68" t="n">
        <x:f>'02a n'!C68</x:f>
        <x:v>0</x:v>
      </x:c>
      <x:c r="I68" t="n">
        <x:f>'02a n'!D68</x:f>
        <x:v>0</x:v>
      </x:c>
      <x:c r="J68" t="n">
        <x:f>'02a n'!E68</x:f>
        <x:v>0</x:v>
      </x:c>
      <x:c r="K68" t="n">
        <x:f>'02a n'!F68</x:f>
        <x:v>0</x:v>
      </x:c>
      <x:c r="L68" t="n">
        <x:f>'02a n'!G68</x:f>
        <x:v>0</x:v>
      </x:c>
      <x:c r="M68" t="n">
        <x:f>'02b n^-1'!C68</x:f>
        <x:v>0</x:v>
      </x:c>
      <x:c r="N68" t="n">
        <x:f>'02b n^-1'!D68</x:f>
        <x:v>0</x:v>
      </x:c>
      <x:c r="O68" t="n">
        <x:f>'02b n^-1'!E68</x:f>
        <x:v>0</x:v>
      </x:c>
      <x:c r="P68" t="n">
        <x:f>'02b n^-1'!F68</x:f>
        <x:v>0</x:v>
      </x:c>
      <x:c r="Q68" t="n">
        <x:f>'02b n^-1'!G68</x:f>
        <x:v>0</x:v>
      </x:c>
      <x:c r="R68" t="n">
        <x:f>'02b n^-1'!H68</x:f>
        <x:v>0</x:v>
      </x:c>
      <x:c r="S68" s="12" t="n">
        <x:f>'02c n^-2'!C68</x:f>
        <x:v>0</x:v>
      </x:c>
      <x:c r="T68" t="n">
        <x:f>'02c n^-2'!D68</x:f>
        <x:v>0</x:v>
      </x:c>
      <x:c r="U68" t="n">
        <x:f>'05 Gate Output'!H68</x:f>
        <x:v>1</x:v>
      </x:c>
      <x:c r="V68" t="n">
        <x:f>'05 Gate Output'!I68</x:f>
        <x:v>0</x:v>
      </x:c>
      <x:c r="W68" t="n">
        <x:f>'05 Gate Output'!J68</x:f>
        <x:v>0</x:v>
      </x:c>
      <x:c r="X68" t="n">
        <x:f>'05 Gate Output'!K68</x:f>
        <x:v>0</x:v>
      </x:c>
      <x:c r="Y68" t="n">
        <x:f>'05 Gate Output'!L68</x:f>
        <x:v>0</x:v>
      </x:c>
      <x:c r="Z68" t="n">
        <x:f>'05 Gate Output'!M68</x:f>
        <x:v>0</x:v>
      </x:c>
    </x:row>
    <x:row r="69">
      <x:c r="A69" t="n">
        <x:f>'01 Sensory Input'!A69</x:f>
        <x:v>4</x:v>
      </x:c>
      <x:c r="B69" t="n">
        <x:f>'01 Sensory Input'!B69</x:f>
        <x:v>4</x:v>
      </x:c>
      <x:c r="C69" s="12" t="n">
        <x:f>'01 Sensory Input'!C69</x:f>
        <x:v>0.44</x:v>
      </x:c>
      <x:c r="D69" s="12" t="n">
        <x:f>'01 Sensory Input'!D69</x:f>
        <x:v>0.35</x:v>
      </x:c>
      <x:c r="E69" s="12" t="n">
        <x:f>'01 Sensory Input'!E69</x:f>
        <x:v>0.15</x:v>
      </x:c>
      <x:c r="F69" s="12" t="n">
        <x:f>'01 Sensory Input'!F69</x:f>
        <x:v>0.22</x:v>
      </x:c>
      <x:c r="G69" s="12" t="n">
        <x:f>'01 Sensory Input'!G69</x:f>
        <x:v>0.36</x:v>
      </x:c>
      <x:c r="H69" t="n">
        <x:f>'02a n'!C69</x:f>
        <x:v>0</x:v>
      </x:c>
      <x:c r="I69" t="n">
        <x:f>'02a n'!D69</x:f>
        <x:v>0</x:v>
      </x:c>
      <x:c r="J69" t="n">
        <x:f>'02a n'!E69</x:f>
        <x:v>0</x:v>
      </x:c>
      <x:c r="K69" t="n">
        <x:f>'02a n'!F69</x:f>
        <x:v>0</x:v>
      </x:c>
      <x:c r="L69" t="n">
        <x:f>'02a n'!G69</x:f>
        <x:v>0</x:v>
      </x:c>
      <x:c r="M69" t="n">
        <x:f>'02b n^-1'!C69</x:f>
        <x:v>0</x:v>
      </x:c>
      <x:c r="N69" t="n">
        <x:f>'02b n^-1'!D69</x:f>
        <x:v>0</x:v>
      </x:c>
      <x:c r="O69" t="n">
        <x:f>'02b n^-1'!E69</x:f>
        <x:v>0</x:v>
      </x:c>
      <x:c r="P69" t="n">
        <x:f>'02b n^-1'!F69</x:f>
        <x:v>0</x:v>
      </x:c>
      <x:c r="Q69" t="n">
        <x:f>'02b n^-1'!G69</x:f>
        <x:v>0</x:v>
      </x:c>
      <x:c r="R69" t="n">
        <x:f>'02b n^-1'!H69</x:f>
        <x:v>0</x:v>
      </x:c>
      <x:c r="S69" s="12" t="n">
        <x:f>'02c n^-2'!C69</x:f>
        <x:v>0</x:v>
      </x:c>
      <x:c r="T69" t="n">
        <x:f>'02c n^-2'!D69</x:f>
        <x:v>0</x:v>
      </x:c>
      <x:c r="U69" t="n">
        <x:f>'05 Gate Output'!H69</x:f>
        <x:v>1</x:v>
      </x:c>
      <x:c r="V69" t="n">
        <x:f>'05 Gate Output'!I69</x:f>
        <x:v>0</x:v>
      </x:c>
      <x:c r="W69" t="n">
        <x:f>'05 Gate Output'!J69</x:f>
        <x:v>0</x:v>
      </x:c>
      <x:c r="X69" t="n">
        <x:f>'05 Gate Output'!K69</x:f>
        <x:v>0</x:v>
      </x:c>
      <x:c r="Y69" t="n">
        <x:f>'05 Gate Output'!L69</x:f>
        <x:v>0</x:v>
      </x:c>
      <x:c r="Z69" t="n">
        <x:f>'05 Gate Output'!M69</x:f>
        <x:v>0</x:v>
      </x:c>
    </x:row>
    <x:row r="70">
      <x:c r="A70" t="n">
        <x:f>'01 Sensory Input'!A70</x:f>
        <x:v>4</x:v>
      </x:c>
      <x:c r="B70" t="n">
        <x:f>'01 Sensory Input'!B70</x:f>
        <x:v>5</x:v>
      </x:c>
      <x:c r="C70" s="12" t="n">
        <x:f>'01 Sensory Input'!C70</x:f>
        <x:v>0.48</x:v>
      </x:c>
      <x:c r="D70" s="12" t="n">
        <x:f>'01 Sensory Input'!D70</x:f>
        <x:v>0.39</x:v>
      </x:c>
      <x:c r="E70" s="12" t="n">
        <x:f>'01 Sensory Input'!E70</x:f>
        <x:v>0.2</x:v>
      </x:c>
      <x:c r="F70" s="12" t="n">
        <x:f>'01 Sensory Input'!F70</x:f>
        <x:v>0.24</x:v>
      </x:c>
      <x:c r="G70" s="12" t="n">
        <x:f>'01 Sensory Input'!G70</x:f>
        <x:v>0.28</x:v>
      </x:c>
      <x:c r="H70" t="n">
        <x:f>'02a n'!C70</x:f>
        <x:v>0</x:v>
      </x:c>
      <x:c r="I70" t="n">
        <x:f>'02a n'!D70</x:f>
        <x:v>0</x:v>
      </x:c>
      <x:c r="J70" t="n">
        <x:f>'02a n'!E70</x:f>
        <x:v>0</x:v>
      </x:c>
      <x:c r="K70" t="n">
        <x:f>'02a n'!F70</x:f>
        <x:v>0</x:v>
      </x:c>
      <x:c r="L70" t="n">
        <x:f>'02a n'!G70</x:f>
        <x:v>0</x:v>
      </x:c>
      <x:c r="M70" t="n">
        <x:f>'02b n^-1'!C70</x:f>
        <x:v>0</x:v>
      </x:c>
      <x:c r="N70" t="n">
        <x:f>'02b n^-1'!D70</x:f>
        <x:v>0</x:v>
      </x:c>
      <x:c r="O70" t="n">
        <x:f>'02b n^-1'!E70</x:f>
        <x:v>0</x:v>
      </x:c>
      <x:c r="P70" t="n">
        <x:f>'02b n^-1'!F70</x:f>
        <x:v>0</x:v>
      </x:c>
      <x:c r="Q70" t="n">
        <x:f>'02b n^-1'!G70</x:f>
        <x:v>0</x:v>
      </x:c>
      <x:c r="R70" t="n">
        <x:f>'02b n^-1'!H70</x:f>
        <x:v>0</x:v>
      </x:c>
      <x:c r="S70" s="12" t="n">
        <x:f>'02c n^-2'!C70</x:f>
        <x:v>0</x:v>
      </x:c>
      <x:c r="T70" t="n">
        <x:f>'02c n^-2'!D70</x:f>
        <x:v>0</x:v>
      </x:c>
      <x:c r="U70" t="n">
        <x:f>'05 Gate Output'!H70</x:f>
        <x:v>1</x:v>
      </x:c>
      <x:c r="V70" t="n">
        <x:f>'05 Gate Output'!I70</x:f>
        <x:v>0</x:v>
      </x:c>
      <x:c r="W70" t="n">
        <x:f>'05 Gate Output'!J70</x:f>
        <x:v>0</x:v>
      </x:c>
      <x:c r="X70" t="n">
        <x:f>'05 Gate Output'!K70</x:f>
        <x:v>0</x:v>
      </x:c>
      <x:c r="Y70" t="n">
        <x:f>'05 Gate Output'!L70</x:f>
        <x:v>0</x:v>
      </x:c>
      <x:c r="Z70" t="n">
        <x:f>'05 Gate Output'!M70</x:f>
        <x:v>0</x:v>
      </x:c>
    </x:row>
    <x:row r="71">
      <x:c r="A71" t="n">
        <x:f>'01 Sensory Input'!A71</x:f>
        <x:v>4</x:v>
      </x:c>
      <x:c r="B71" t="n">
        <x:f>'01 Sensory Input'!B71</x:f>
        <x:v>6</x:v>
      </x:c>
      <x:c r="C71" s="12" t="n">
        <x:f>'01 Sensory Input'!C71</x:f>
        <x:v>0.4</x:v>
      </x:c>
      <x:c r="D71" s="12" t="n">
        <x:f>'01 Sensory Input'!D71</x:f>
        <x:v>0.43</x:v>
      </x:c>
      <x:c r="E71" s="12" t="n">
        <x:f>'01 Sensory Input'!E71</x:f>
        <x:v>0.7</x:v>
      </x:c>
      <x:c r="F71" s="12" t="n">
        <x:f>'01 Sensory Input'!F71</x:f>
        <x:v>0.26</x:v>
      </x:c>
      <x:c r="G71" s="12" t="n">
        <x:f>'01 Sensory Input'!G71</x:f>
        <x:v>0.3</x:v>
      </x:c>
      <x:c r="H71" t="n">
        <x:f>'02a n'!C71</x:f>
        <x:v>0</x:v>
      </x:c>
      <x:c r="I71" t="n">
        <x:f>'02a n'!D71</x:f>
        <x:v>0</x:v>
      </x:c>
      <x:c r="J71" t="n">
        <x:f>'02a n'!E71</x:f>
        <x:v>0</x:v>
      </x:c>
      <x:c r="K71" t="n">
        <x:f>'02a n'!F71</x:f>
        <x:v>0</x:v>
      </x:c>
      <x:c r="L71" t="n">
        <x:f>'02a n'!G71</x:f>
        <x:v>0</x:v>
      </x:c>
      <x:c r="M71" t="n">
        <x:f>'02b n^-1'!C71</x:f>
        <x:v>0</x:v>
      </x:c>
      <x:c r="N71" t="n">
        <x:f>'02b n^-1'!D71</x:f>
        <x:v>0</x:v>
      </x:c>
      <x:c r="O71" t="n">
        <x:f>'02b n^-1'!E71</x:f>
        <x:v>1</x:v>
      </x:c>
      <x:c r="P71" t="n">
        <x:f>'02b n^-1'!F71</x:f>
        <x:v>0</x:v>
      </x:c>
      <x:c r="Q71" t="n">
        <x:f>'02b n^-1'!G71</x:f>
        <x:v>0</x:v>
      </x:c>
      <x:c r="R71" t="n">
        <x:f>'02b n^-1'!H71</x:f>
        <x:v>0</x:v>
      </x:c>
      <x:c r="S71" s="12" t="n">
        <x:f>'02c n^-2'!C71</x:f>
        <x:v>0.16666666666666666</x:v>
      </x:c>
      <x:c r="T71" t="n">
        <x:f>'02c n^-2'!D71</x:f>
        <x:v>1</x:v>
      </x:c>
      <x:c r="U71" t="n">
        <x:f>'05 Gate Output'!H71</x:f>
        <x:v>0</x:v>
      </x:c>
      <x:c r="V71" t="n">
        <x:f>'05 Gate Output'!I71</x:f>
        <x:v>1</x:v>
      </x:c>
      <x:c r="W71" t="n">
        <x:f>'05 Gate Output'!J71</x:f>
        <x:v>1</x:v>
      </x:c>
      <x:c r="X71" t="n">
        <x:f>'05 Gate Output'!K71</x:f>
        <x:v>1</x:v>
      </x:c>
      <x:c r="Y71" t="n">
        <x:f>'05 Gate Output'!L71</x:f>
        <x:v>0</x:v>
      </x:c>
      <x:c r="Z71" t="n">
        <x:f>'05 Gate Output'!M71</x:f>
        <x:v>1</x:v>
      </x:c>
    </x:row>
    <x:row r="72">
      <x:c r="A72" t="n">
        <x:f>'01 Sensory Input'!A72</x:f>
        <x:v>4</x:v>
      </x:c>
      <x:c r="B72" t="n">
        <x:f>'01 Sensory Input'!B72</x:f>
        <x:v>7</x:v>
      </x:c>
      <x:c r="C72" s="12" t="n">
        <x:f>'01 Sensory Input'!C72</x:f>
        <x:v>0.44</x:v>
      </x:c>
      <x:c r="D72" s="12" t="n">
        <x:f>'01 Sensory Input'!D72</x:f>
        <x:v>0.47</x:v>
      </x:c>
      <x:c r="E72" s="12" t="n">
        <x:f>'01 Sensory Input'!E72</x:f>
        <x:v>1</x:v>
      </x:c>
      <x:c r="F72" s="12" t="n">
        <x:f>'01 Sensory Input'!F72</x:f>
        <x:v>0.28</x:v>
      </x:c>
      <x:c r="G72" s="12" t="n">
        <x:f>'01 Sensory Input'!G72</x:f>
        <x:v>0.32</x:v>
      </x:c>
      <x:c r="H72" t="n">
        <x:f>'02a n'!C72</x:f>
        <x:v>0</x:v>
      </x:c>
      <x:c r="I72" t="n">
        <x:f>'02a n'!D72</x:f>
        <x:v>0</x:v>
      </x:c>
      <x:c r="J72" t="n">
        <x:f>'02a n'!E72</x:f>
        <x:v>1</x:v>
      </x:c>
      <x:c r="K72" t="n">
        <x:f>'02a n'!F72</x:f>
        <x:v>0</x:v>
      </x:c>
      <x:c r="L72" t="n">
        <x:f>'02a n'!G72</x:f>
        <x:v>0</x:v>
      </x:c>
      <x:c r="M72" t="n">
        <x:f>'02b n^-1'!C72</x:f>
        <x:v>0</x:v>
      </x:c>
      <x:c r="N72" t="n">
        <x:f>'02b n^-1'!D72</x:f>
        <x:v>0</x:v>
      </x:c>
      <x:c r="O72" t="n">
        <x:f>'02b n^-1'!E72</x:f>
        <x:v>0</x:v>
      </x:c>
      <x:c r="P72" t="n">
        <x:f>'02b n^-1'!F72</x:f>
        <x:v>0</x:v>
      </x:c>
      <x:c r="Q72" t="n">
        <x:f>'02b n^-1'!G72</x:f>
        <x:v>0</x:v>
      </x:c>
      <x:c r="R72" t="n">
        <x:f>'02b n^-1'!H72</x:f>
        <x:v>0</x:v>
      </x:c>
      <x:c r="S72" s="12" t="n">
        <x:f>'02c n^-2'!C72</x:f>
        <x:v>0</x:v>
      </x:c>
      <x:c r="T72" t="n">
        <x:f>'02c n^-2'!D72</x:f>
        <x:v>1</x:v>
      </x:c>
      <x:c r="U72" t="n">
        <x:f>'05 Gate Output'!H72</x:f>
        <x:v>0</x:v>
      </x:c>
      <x:c r="V72" t="n">
        <x:f>'05 Gate Output'!I72</x:f>
        <x:v>1</x:v>
      </x:c>
      <x:c r="W72" t="n">
        <x:f>'05 Gate Output'!J72</x:f>
        <x:v>1</x:v>
      </x:c>
      <x:c r="X72" t="n">
        <x:f>'05 Gate Output'!K72</x:f>
        <x:v>1</x:v>
      </x:c>
      <x:c r="Y72" t="n">
        <x:f>'05 Gate Output'!L72</x:f>
        <x:v>0</x:v>
      </x:c>
      <x:c r="Z72" t="n">
        <x:f>'05 Gate Output'!M72</x:f>
        <x:v>1</x:v>
      </x:c>
    </x:row>
    <x:row r="73">
      <x:c r="A73" t="n">
        <x:f>'01 Sensory Input'!A73</x:f>
        <x:v>4</x:v>
      </x:c>
      <x:c r="B73" t="n">
        <x:f>'01 Sensory Input'!B73</x:f>
        <x:v>8</x:v>
      </x:c>
      <x:c r="C73" s="12" t="n">
        <x:f>'01 Sensory Input'!C73</x:f>
        <x:v>0.48</x:v>
      </x:c>
      <x:c r="D73" s="12" t="n">
        <x:f>'01 Sensory Input'!D73</x:f>
        <x:v>0.35</x:v>
      </x:c>
      <x:c r="E73" s="12" t="n">
        <x:f>'01 Sensory Input'!E73</x:f>
        <x:v>0.25</x:v>
      </x:c>
      <x:c r="F73" s="12" t="n">
        <x:f>'01 Sensory Input'!F73</x:f>
        <x:v>0.22</x:v>
      </x:c>
      <x:c r="G73" s="12" t="n">
        <x:f>'01 Sensory Input'!G73</x:f>
        <x:v>0.34</x:v>
      </x:c>
      <x:c r="H73" t="n">
        <x:f>'02a n'!C73</x:f>
        <x:v>0</x:v>
      </x:c>
      <x:c r="I73" t="n">
        <x:f>'02a n'!D73</x:f>
        <x:v>0</x:v>
      </x:c>
      <x:c r="J73" t="n">
        <x:f>'02a n'!E73</x:f>
        <x:v>0</x:v>
      </x:c>
      <x:c r="K73" t="n">
        <x:f>'02a n'!F73</x:f>
        <x:v>0</x:v>
      </x:c>
      <x:c r="L73" t="n">
        <x:f>'02a n'!G73</x:f>
        <x:v>0</x:v>
      </x:c>
      <x:c r="M73" t="n">
        <x:f>'02b n^-1'!C73</x:f>
        <x:v>0</x:v>
      </x:c>
      <x:c r="N73" t="n">
        <x:f>'02b n^-1'!D73</x:f>
        <x:v>0</x:v>
      </x:c>
      <x:c r="O73" t="n">
        <x:f>'02b n^-1'!E73</x:f>
        <x:v>1</x:v>
      </x:c>
      <x:c r="P73" t="n">
        <x:f>'02b n^-1'!F73</x:f>
        <x:v>0</x:v>
      </x:c>
      <x:c r="Q73" t="n">
        <x:f>'02b n^-1'!G73</x:f>
        <x:v>0</x:v>
      </x:c>
      <x:c r="R73" t="n">
        <x:f>'02b n^-1'!H73</x:f>
        <x:v>0</x:v>
      </x:c>
      <x:c r="S73" s="12" t="n">
        <x:f>'02c n^-2'!C73</x:f>
        <x:v>0.16666666666666666</x:v>
      </x:c>
      <x:c r="T73" t="n">
        <x:f>'02c n^-2'!D73</x:f>
        <x:v>1</x:v>
      </x:c>
      <x:c r="U73" t="n">
        <x:f>'05 Gate Output'!H73</x:f>
        <x:v>0</x:v>
      </x:c>
      <x:c r="V73" t="n">
        <x:f>'05 Gate Output'!I73</x:f>
        <x:v>1</x:v>
      </x:c>
      <x:c r="W73" t="n">
        <x:f>'05 Gate Output'!J73</x:f>
        <x:v>1</x:v>
      </x:c>
      <x:c r="X73" t="n">
        <x:f>'05 Gate Output'!K73</x:f>
        <x:v>1</x:v>
      </x:c>
      <x:c r="Y73" t="n">
        <x:f>'05 Gate Output'!L73</x:f>
        <x:v>0</x:v>
      </x:c>
      <x:c r="Z73" t="n">
        <x:f>'05 Gate Output'!M73</x:f>
        <x:v>1</x:v>
      </x:c>
    </x:row>
    <x:row r="74">
      <x:c r="A74" t="n">
        <x:f>'01 Sensory Input'!A74</x:f>
        <x:v>4</x:v>
      </x:c>
      <x:c r="B74" t="n">
        <x:f>'01 Sensory Input'!B74</x:f>
        <x:v>9</x:v>
      </x:c>
      <x:c r="C74" s="12" t="n">
        <x:f>'01 Sensory Input'!C74</x:f>
        <x:v>0.4</x:v>
      </x:c>
      <x:c r="D74" s="12" t="n">
        <x:f>'01 Sensory Input'!D74</x:f>
        <x:v>0.39</x:v>
      </x:c>
      <x:c r="E74" s="12" t="n">
        <x:f>'01 Sensory Input'!E74</x:f>
        <x:v>0.1</x:v>
      </x:c>
      <x:c r="F74" s="12" t="n">
        <x:f>'01 Sensory Input'!F74</x:f>
        <x:v>0.24</x:v>
      </x:c>
      <x:c r="G74" s="12" t="n">
        <x:f>'01 Sensory Input'!G74</x:f>
        <x:v>0.36</x:v>
      </x:c>
      <x:c r="H74" t="n">
        <x:f>'02a n'!C74</x:f>
        <x:v>0</x:v>
      </x:c>
      <x:c r="I74" t="n">
        <x:f>'02a n'!D74</x:f>
        <x:v>0</x:v>
      </x:c>
      <x:c r="J74" t="n">
        <x:f>'02a n'!E74</x:f>
        <x:v>0</x:v>
      </x:c>
      <x:c r="K74" t="n">
        <x:f>'02a n'!F74</x:f>
        <x:v>0</x:v>
      </x:c>
      <x:c r="L74" t="n">
        <x:f>'02a n'!G74</x:f>
        <x:v>0</x:v>
      </x:c>
      <x:c r="M74" t="n">
        <x:f>'02b n^-1'!C74</x:f>
        <x:v>0</x:v>
      </x:c>
      <x:c r="N74" t="n">
        <x:f>'02b n^-1'!D74</x:f>
        <x:v>0</x:v>
      </x:c>
      <x:c r="O74" t="n">
        <x:f>'02b n^-1'!E74</x:f>
        <x:v>0</x:v>
      </x:c>
      <x:c r="P74" t="n">
        <x:f>'02b n^-1'!F74</x:f>
        <x:v>0</x:v>
      </x:c>
      <x:c r="Q74" t="n">
        <x:f>'02b n^-1'!G74</x:f>
        <x:v>0</x:v>
      </x:c>
      <x:c r="R74" t="n">
        <x:f>'02b n^-1'!H74</x:f>
        <x:v>0</x:v>
      </x:c>
      <x:c r="S74" s="12" t="n">
        <x:f>'02c n^-2'!C74</x:f>
        <x:v>0</x:v>
      </x:c>
      <x:c r="T74" t="n">
        <x:f>'02c n^-2'!D74</x:f>
        <x:v>1</x:v>
      </x:c>
      <x:c r="U74" t="n">
        <x:f>'05 Gate Output'!H74</x:f>
        <x:v>0</x:v>
      </x:c>
      <x:c r="V74" t="n">
        <x:f>'05 Gate Output'!I74</x:f>
        <x:v>1</x:v>
      </x:c>
      <x:c r="W74" t="n">
        <x:f>'05 Gate Output'!J74</x:f>
        <x:v>1</x:v>
      </x:c>
      <x:c r="X74" t="n">
        <x:f>'05 Gate Output'!K74</x:f>
        <x:v>1</x:v>
      </x:c>
      <x:c r="Y74" t="n">
        <x:f>'05 Gate Output'!L74</x:f>
        <x:v>0</x:v>
      </x:c>
      <x:c r="Z74" t="n">
        <x:f>'05 Gate Output'!M74</x:f>
        <x:v>1</x:v>
      </x:c>
    </x:row>
    <x:row r="75">
      <x:c r="A75" t="n">
        <x:f>'01 Sensory Input'!A75</x:f>
        <x:v>4</x:v>
      </x:c>
      <x:c r="B75" t="n">
        <x:f>'01 Sensory Input'!B75</x:f>
        <x:v>10</x:v>
      </x:c>
      <x:c r="C75" s="12" t="n">
        <x:f>'01 Sensory Input'!C75</x:f>
        <x:v>0.44</x:v>
      </x:c>
      <x:c r="D75" s="12" t="n">
        <x:f>'01 Sensory Input'!D75</x:f>
        <x:v>0.43</x:v>
      </x:c>
      <x:c r="E75" s="12" t="n">
        <x:f>'01 Sensory Input'!E75</x:f>
        <x:v>0.15</x:v>
      </x:c>
      <x:c r="F75" s="12" t="n">
        <x:f>'01 Sensory Input'!F75</x:f>
        <x:v>0.26</x:v>
      </x:c>
      <x:c r="G75" s="12" t="n">
        <x:f>'01 Sensory Input'!G75</x:f>
        <x:v>0.28</x:v>
      </x:c>
      <x:c r="H75" t="n">
        <x:f>'02a n'!C75</x:f>
        <x:v>0</x:v>
      </x:c>
      <x:c r="I75" t="n">
        <x:f>'02a n'!D75</x:f>
        <x:v>0</x:v>
      </x:c>
      <x:c r="J75" t="n">
        <x:f>'02a n'!E75</x:f>
        <x:v>0</x:v>
      </x:c>
      <x:c r="K75" t="n">
        <x:f>'02a n'!F75</x:f>
        <x:v>0</x:v>
      </x:c>
      <x:c r="L75" t="n">
        <x:f>'02a n'!G75</x:f>
        <x:v>0</x:v>
      </x:c>
      <x:c r="M75" t="n">
        <x:f>'02b n^-1'!C75</x:f>
        <x:v>0</x:v>
      </x:c>
      <x:c r="N75" t="n">
        <x:f>'02b n^-1'!D75</x:f>
        <x:v>0</x:v>
      </x:c>
      <x:c r="O75" t="n">
        <x:f>'02b n^-1'!E75</x:f>
        <x:v>0</x:v>
      </x:c>
      <x:c r="P75" t="n">
        <x:f>'02b n^-1'!F75</x:f>
        <x:v>0</x:v>
      </x:c>
      <x:c r="Q75" t="n">
        <x:f>'02b n^-1'!G75</x:f>
        <x:v>0</x:v>
      </x:c>
      <x:c r="R75" t="n">
        <x:f>'02b n^-1'!H75</x:f>
        <x:v>0</x:v>
      </x:c>
      <x:c r="S75" s="12" t="n">
        <x:f>'02c n^-2'!C75</x:f>
        <x:v>0</x:v>
      </x:c>
      <x:c r="T75" t="n">
        <x:f>'02c n^-2'!D75</x:f>
        <x:v>0</x:v>
      </x:c>
      <x:c r="U75" t="n">
        <x:f>'05 Gate Output'!H75</x:f>
        <x:v>1</x:v>
      </x:c>
      <x:c r="V75" t="n">
        <x:f>'05 Gate Output'!I75</x:f>
        <x:v>0</x:v>
      </x:c>
      <x:c r="W75" t="n">
        <x:f>'05 Gate Output'!J75</x:f>
        <x:v>0</x:v>
      </x:c>
      <x:c r="X75" t="n">
        <x:f>'05 Gate Output'!K75</x:f>
        <x:v>0</x:v>
      </x:c>
      <x:c r="Y75" t="n">
        <x:f>'05 Gate Output'!L75</x:f>
        <x:v>0</x:v>
      </x:c>
      <x:c r="Z75" t="n">
        <x:f>'05 Gate Output'!M75</x:f>
        <x:v>0</x:v>
      </x:c>
    </x:row>
    <x:row r="76">
      <x:c r="A76" t="n">
        <x:f>'01 Sensory Input'!A76</x:f>
        <x:v>4</x:v>
      </x:c>
      <x:c r="B76" t="n">
        <x:f>'01 Sensory Input'!B76</x:f>
        <x:v>11</x:v>
      </x:c>
      <x:c r="C76" s="12" t="n">
        <x:f>'01 Sensory Input'!C76</x:f>
        <x:v>0.48</x:v>
      </x:c>
      <x:c r="D76" s="12" t="n">
        <x:f>'01 Sensory Input'!D76</x:f>
        <x:v>0.47</x:v>
      </x:c>
      <x:c r="E76" s="12" t="n">
        <x:f>'01 Sensory Input'!E76</x:f>
        <x:v>0.2</x:v>
      </x:c>
      <x:c r="F76" s="12" t="n">
        <x:f>'01 Sensory Input'!F76</x:f>
        <x:v>0.28</x:v>
      </x:c>
      <x:c r="G76" s="12" t="n">
        <x:f>'01 Sensory Input'!G76</x:f>
        <x:v>0.3</x:v>
      </x:c>
      <x:c r="H76" t="n">
        <x:f>'02a n'!C76</x:f>
        <x:v>0</x:v>
      </x:c>
      <x:c r="I76" t="n">
        <x:f>'02a n'!D76</x:f>
        <x:v>0</x:v>
      </x:c>
      <x:c r="J76" t="n">
        <x:f>'02a n'!E76</x:f>
        <x:v>0</x:v>
      </x:c>
      <x:c r="K76" t="n">
        <x:f>'02a n'!F76</x:f>
        <x:v>0</x:v>
      </x:c>
      <x:c r="L76" t="n">
        <x:f>'02a n'!G76</x:f>
        <x:v>0</x:v>
      </x:c>
      <x:c r="M76" t="n">
        <x:f>'02b n^-1'!C76</x:f>
        <x:v>0</x:v>
      </x:c>
      <x:c r="N76" t="n">
        <x:f>'02b n^-1'!D76</x:f>
        <x:v>0</x:v>
      </x:c>
      <x:c r="O76" t="n">
        <x:f>'02b n^-1'!E76</x:f>
        <x:v>0</x:v>
      </x:c>
      <x:c r="P76" t="n">
        <x:f>'02b n^-1'!F76</x:f>
        <x:v>0</x:v>
      </x:c>
      <x:c r="Q76" t="n">
        <x:f>'02b n^-1'!G76</x:f>
        <x:v>0</x:v>
      </x:c>
      <x:c r="R76" t="n">
        <x:f>'02b n^-1'!H76</x:f>
        <x:v>0</x:v>
      </x:c>
      <x:c r="S76" s="12" t="n">
        <x:f>'02c n^-2'!C76</x:f>
        <x:v>0</x:v>
      </x:c>
      <x:c r="T76" t="n">
        <x:f>'02c n^-2'!D76</x:f>
        <x:v>0</x:v>
      </x:c>
      <x:c r="U76" t="n">
        <x:f>'05 Gate Output'!H76</x:f>
        <x:v>1</x:v>
      </x:c>
      <x:c r="V76" t="n">
        <x:f>'05 Gate Output'!I76</x:f>
        <x:v>0</x:v>
      </x:c>
      <x:c r="W76" t="n">
        <x:f>'05 Gate Output'!J76</x:f>
        <x:v>0</x:v>
      </x:c>
      <x:c r="X76" t="n">
        <x:f>'05 Gate Output'!K76</x:f>
        <x:v>0</x:v>
      </x:c>
      <x:c r="Y76" t="n">
        <x:f>'05 Gate Output'!L76</x:f>
        <x:v>0</x:v>
      </x:c>
      <x:c r="Z76" t="n">
        <x:f>'05 Gate Output'!M76</x:f>
        <x:v>0</x:v>
      </x:c>
    </x:row>
    <x:row r="77">
      <x:c r="A77" t="n">
        <x:f>'01 Sensory Input'!A77</x:f>
        <x:v>4</x:v>
      </x:c>
      <x:c r="B77" t="n">
        <x:f>'01 Sensory Input'!B77</x:f>
        <x:v>12</x:v>
      </x:c>
      <x:c r="C77" s="12" t="n">
        <x:f>'01 Sensory Input'!C77</x:f>
        <x:v>0.4</x:v>
      </x:c>
      <x:c r="D77" s="12" t="n">
        <x:f>'01 Sensory Input'!D77</x:f>
        <x:v>0.35</x:v>
      </x:c>
      <x:c r="E77" s="12" t="n">
        <x:f>'01 Sensory Input'!E77</x:f>
        <x:v>0.1</x:v>
      </x:c>
      <x:c r="F77" s="12" t="n">
        <x:f>'01 Sensory Input'!F77</x:f>
        <x:v>0.22</x:v>
      </x:c>
      <x:c r="G77" s="12" t="n">
        <x:f>'01 Sensory Input'!G77</x:f>
        <x:v>0.32</x:v>
      </x:c>
      <x:c r="H77" t="n">
        <x:f>'02a n'!C77</x:f>
        <x:v>0</x:v>
      </x:c>
      <x:c r="I77" t="n">
        <x:f>'02a n'!D77</x:f>
        <x:v>0</x:v>
      </x:c>
      <x:c r="J77" t="n">
        <x:f>'02a n'!E77</x:f>
        <x:v>0</x:v>
      </x:c>
      <x:c r="K77" t="n">
        <x:f>'02a n'!F77</x:f>
        <x:v>0</x:v>
      </x:c>
      <x:c r="L77" t="n">
        <x:f>'02a n'!G77</x:f>
        <x:v>0</x:v>
      </x:c>
      <x:c r="M77" t="n">
        <x:f>'02b n^-1'!C77</x:f>
        <x:v>0</x:v>
      </x:c>
      <x:c r="N77" t="n">
        <x:f>'02b n^-1'!D77</x:f>
        <x:v>0</x:v>
      </x:c>
      <x:c r="O77" t="n">
        <x:f>'02b n^-1'!E77</x:f>
        <x:v>0</x:v>
      </x:c>
      <x:c r="P77" t="n">
        <x:f>'02b n^-1'!F77</x:f>
        <x:v>0</x:v>
      </x:c>
      <x:c r="Q77" t="n">
        <x:f>'02b n^-1'!G77</x:f>
        <x:v>0</x:v>
      </x:c>
      <x:c r="R77" t="n">
        <x:f>'02b n^-1'!H77</x:f>
        <x:v>0</x:v>
      </x:c>
      <x:c r="S77" s="12" t="n">
        <x:f>'02c n^-2'!C77</x:f>
        <x:v>0</x:v>
      </x:c>
      <x:c r="T77" t="n">
        <x:f>'02c n^-2'!D77</x:f>
        <x:v>0</x:v>
      </x:c>
      <x:c r="U77" t="n">
        <x:f>'05 Gate Output'!H77</x:f>
        <x:v>1</x:v>
      </x:c>
      <x:c r="V77" t="n">
        <x:f>'05 Gate Output'!I77</x:f>
        <x:v>0</x:v>
      </x:c>
      <x:c r="W77" t="n">
        <x:f>'05 Gate Output'!J77</x:f>
        <x:v>0</x:v>
      </x:c>
      <x:c r="X77" t="n">
        <x:f>'05 Gate Output'!K77</x:f>
        <x:v>0</x:v>
      </x:c>
      <x:c r="Y77" t="n">
        <x:f>'05 Gate Output'!L77</x:f>
        <x:v>0</x:v>
      </x:c>
      <x:c r="Z77" t="n">
        <x:f>'05 Gate Output'!M77</x:f>
        <x:v>0</x:v>
      </x:c>
    </x:row>
    <x:row r="78">
      <x:c r="A78" t="n">
        <x:f>'01 Sensory Input'!A78</x:f>
        <x:v>4</x:v>
      </x:c>
      <x:c r="B78" t="n">
        <x:f>'01 Sensory Input'!B78</x:f>
        <x:v>13</x:v>
      </x:c>
      <x:c r="C78" s="12" t="n">
        <x:f>'01 Sensory Input'!C78</x:f>
        <x:v>0.44</x:v>
      </x:c>
      <x:c r="D78" s="12" t="n">
        <x:f>'01 Sensory Input'!D78</x:f>
        <x:v>0.39</x:v>
      </x:c>
      <x:c r="E78" s="12" t="n">
        <x:f>'01 Sensory Input'!E78</x:f>
        <x:v>0.15</x:v>
      </x:c>
      <x:c r="F78" s="12" t="n">
        <x:f>'01 Sensory Input'!F78</x:f>
        <x:v>0.24</x:v>
      </x:c>
      <x:c r="G78" s="12" t="n">
        <x:f>'01 Sensory Input'!G78</x:f>
        <x:v>0.34</x:v>
      </x:c>
      <x:c r="H78" t="n">
        <x:f>'02a n'!C78</x:f>
        <x:v>0</x:v>
      </x:c>
      <x:c r="I78" t="n">
        <x:f>'02a n'!D78</x:f>
        <x:v>0</x:v>
      </x:c>
      <x:c r="J78" t="n">
        <x:f>'02a n'!E78</x:f>
        <x:v>0</x:v>
      </x:c>
      <x:c r="K78" t="n">
        <x:f>'02a n'!F78</x:f>
        <x:v>0</x:v>
      </x:c>
      <x:c r="L78" t="n">
        <x:f>'02a n'!G78</x:f>
        <x:v>0</x:v>
      </x:c>
      <x:c r="M78" t="n">
        <x:f>'02b n^-1'!C78</x:f>
        <x:v>0</x:v>
      </x:c>
      <x:c r="N78" t="n">
        <x:f>'02b n^-1'!D78</x:f>
        <x:v>0</x:v>
      </x:c>
      <x:c r="O78" t="n">
        <x:f>'02b n^-1'!E78</x:f>
        <x:v>0</x:v>
      </x:c>
      <x:c r="P78" t="n">
        <x:f>'02b n^-1'!F78</x:f>
        <x:v>0</x:v>
      </x:c>
      <x:c r="Q78" t="n">
        <x:f>'02b n^-1'!G78</x:f>
        <x:v>0</x:v>
      </x:c>
      <x:c r="R78" t="n">
        <x:f>'02b n^-1'!H78</x:f>
        <x:v>0</x:v>
      </x:c>
      <x:c r="S78" s="12" t="n">
        <x:f>'02c n^-2'!C78</x:f>
        <x:v>0</x:v>
      </x:c>
      <x:c r="T78" t="n">
        <x:f>'02c n^-2'!D78</x:f>
        <x:v>0</x:v>
      </x:c>
      <x:c r="U78" t="n">
        <x:f>'05 Gate Output'!H78</x:f>
        <x:v>1</x:v>
      </x:c>
      <x:c r="V78" t="n">
        <x:f>'05 Gate Output'!I78</x:f>
        <x:v>0</x:v>
      </x:c>
      <x:c r="W78" t="n">
        <x:f>'05 Gate Output'!J78</x:f>
        <x:v>0</x:v>
      </x:c>
      <x:c r="X78" t="n">
        <x:f>'05 Gate Output'!K78</x:f>
        <x:v>0</x:v>
      </x:c>
      <x:c r="Y78" t="n">
        <x:f>'05 Gate Output'!L78</x:f>
        <x:v>0</x:v>
      </x:c>
      <x:c r="Z78" t="n">
        <x:f>'05 Gate Output'!M78</x:f>
        <x:v>0</x:v>
      </x:c>
    </x:row>
    <x:row r="79">
      <x:c r="A79" t="n">
        <x:f>'01 Sensory Input'!A79</x:f>
        <x:v>4</x:v>
      </x:c>
      <x:c r="B79" t="n">
        <x:f>'01 Sensory Input'!B79</x:f>
        <x:v>14</x:v>
      </x:c>
      <x:c r="C79" s="12" t="n">
        <x:f>'01 Sensory Input'!C79</x:f>
        <x:v>0.48</x:v>
      </x:c>
      <x:c r="D79" s="12" t="n">
        <x:f>'01 Sensory Input'!D79</x:f>
        <x:v>0.43</x:v>
      </x:c>
      <x:c r="E79" s="12" t="n">
        <x:f>'01 Sensory Input'!E79</x:f>
        <x:v>0.2</x:v>
      </x:c>
      <x:c r="F79" s="12" t="n">
        <x:f>'01 Sensory Input'!F79</x:f>
        <x:v>0.26</x:v>
      </x:c>
      <x:c r="G79" s="12" t="n">
        <x:f>'01 Sensory Input'!G79</x:f>
        <x:v>0.36</x:v>
      </x:c>
      <x:c r="H79" t="n">
        <x:f>'02a n'!C79</x:f>
        <x:v>0</x:v>
      </x:c>
      <x:c r="I79" t="n">
        <x:f>'02a n'!D79</x:f>
        <x:v>0</x:v>
      </x:c>
      <x:c r="J79" t="n">
        <x:f>'02a n'!E79</x:f>
        <x:v>0</x:v>
      </x:c>
      <x:c r="K79" t="n">
        <x:f>'02a n'!F79</x:f>
        <x:v>0</x:v>
      </x:c>
      <x:c r="L79" t="n">
        <x:f>'02a n'!G79</x:f>
        <x:v>0</x:v>
      </x:c>
      <x:c r="M79" t="n">
        <x:f>'02b n^-1'!C79</x:f>
        <x:v>0</x:v>
      </x:c>
      <x:c r="N79" t="n">
        <x:f>'02b n^-1'!D79</x:f>
        <x:v>0</x:v>
      </x:c>
      <x:c r="O79" t="n">
        <x:f>'02b n^-1'!E79</x:f>
        <x:v>0</x:v>
      </x:c>
      <x:c r="P79" t="n">
        <x:f>'02b n^-1'!F79</x:f>
        <x:v>0</x:v>
      </x:c>
      <x:c r="Q79" t="n">
        <x:f>'02b n^-1'!G79</x:f>
        <x:v>0</x:v>
      </x:c>
      <x:c r="R79" t="n">
        <x:f>'02b n^-1'!H79</x:f>
        <x:v>0</x:v>
      </x:c>
      <x:c r="S79" s="12" t="n">
        <x:f>'02c n^-2'!C79</x:f>
        <x:v>0</x:v>
      </x:c>
      <x:c r="T79" t="n">
        <x:f>'02c n^-2'!D79</x:f>
        <x:v>0</x:v>
      </x:c>
      <x:c r="U79" t="n">
        <x:f>'05 Gate Output'!H79</x:f>
        <x:v>1</x:v>
      </x:c>
      <x:c r="V79" t="n">
        <x:f>'05 Gate Output'!I79</x:f>
        <x:v>0</x:v>
      </x:c>
      <x:c r="W79" t="n">
        <x:f>'05 Gate Output'!J79</x:f>
        <x:v>0</x:v>
      </x:c>
      <x:c r="X79" t="n">
        <x:f>'05 Gate Output'!K79</x:f>
        <x:v>0</x:v>
      </x:c>
      <x:c r="Y79" t="n">
        <x:f>'05 Gate Output'!L79</x:f>
        <x:v>0</x:v>
      </x:c>
      <x:c r="Z79" t="n">
        <x:f>'05 Gate Output'!M79</x:f>
        <x:v>0</x:v>
      </x:c>
    </x:row>
    <x:row r="80">
      <x:c r="A80" t="n">
        <x:f>'01 Sensory Input'!A80</x:f>
        <x:v>4</x:v>
      </x:c>
      <x:c r="B80" t="n">
        <x:f>'01 Sensory Input'!B80</x:f>
        <x:v>15</x:v>
      </x:c>
      <x:c r="C80" s="12" t="n">
        <x:f>'01 Sensory Input'!C80</x:f>
        <x:v>0.4</x:v>
      </x:c>
      <x:c r="D80" s="12" t="n">
        <x:f>'01 Sensory Input'!D80</x:f>
        <x:v>0.47</x:v>
      </x:c>
      <x:c r="E80" s="12" t="n">
        <x:f>'01 Sensory Input'!E80</x:f>
        <x:v>0.1</x:v>
      </x:c>
      <x:c r="F80" s="12" t="n">
        <x:f>'01 Sensory Input'!F80</x:f>
        <x:v>0.28</x:v>
      </x:c>
      <x:c r="G80" s="12" t="n">
        <x:f>'01 Sensory Input'!G80</x:f>
        <x:v>0.28</x:v>
      </x:c>
      <x:c r="H80" t="n">
        <x:f>'02a n'!C80</x:f>
        <x:v>0</x:v>
      </x:c>
      <x:c r="I80" t="n">
        <x:f>'02a n'!D80</x:f>
        <x:v>0</x:v>
      </x:c>
      <x:c r="J80" t="n">
        <x:f>'02a n'!E80</x:f>
        <x:v>0</x:v>
      </x:c>
      <x:c r="K80" t="n">
        <x:f>'02a n'!F80</x:f>
        <x:v>0</x:v>
      </x:c>
      <x:c r="L80" t="n">
        <x:f>'02a n'!G80</x:f>
        <x:v>0</x:v>
      </x:c>
      <x:c r="M80" t="n">
        <x:f>'02b n^-1'!C80</x:f>
        <x:v>0</x:v>
      </x:c>
      <x:c r="N80" t="n">
        <x:f>'02b n^-1'!D80</x:f>
        <x:v>0</x:v>
      </x:c>
      <x:c r="O80" t="n">
        <x:f>'02b n^-1'!E80</x:f>
        <x:v>0</x:v>
      </x:c>
      <x:c r="P80" t="n">
        <x:f>'02b n^-1'!F80</x:f>
        <x:v>0</x:v>
      </x:c>
      <x:c r="Q80" t="n">
        <x:f>'02b n^-1'!G80</x:f>
        <x:v>0</x:v>
      </x:c>
      <x:c r="R80" t="n">
        <x:f>'02b n^-1'!H80</x:f>
        <x:v>0</x:v>
      </x:c>
      <x:c r="S80" s="12" t="n">
        <x:f>'02c n^-2'!C80</x:f>
        <x:v>0</x:v>
      </x:c>
      <x:c r="T80" t="n">
        <x:f>'02c n^-2'!D80</x:f>
        <x:v>0</x:v>
      </x:c>
      <x:c r="U80" t="n">
        <x:f>'05 Gate Output'!H80</x:f>
        <x:v>1</x:v>
      </x:c>
      <x:c r="V80" t="n">
        <x:f>'05 Gate Output'!I80</x:f>
        <x:v>0</x:v>
      </x:c>
      <x:c r="W80" t="n">
        <x:f>'05 Gate Output'!J80</x:f>
        <x:v>0</x:v>
      </x:c>
      <x:c r="X80" t="n">
        <x:f>'05 Gate Output'!K80</x:f>
        <x:v>0</x:v>
      </x:c>
      <x:c r="Y80" t="n">
        <x:f>'05 Gate Output'!L80</x:f>
        <x:v>0</x:v>
      </x:c>
      <x:c r="Z80" t="n">
        <x:f>'05 Gate Output'!M80</x:f>
        <x:v>0</x:v>
      </x:c>
    </x:row>
    <x:row r="81">
      <x:c r="A81" t="n">
        <x:f>'01 Sensory Input'!A81</x:f>
        <x:v>4</x:v>
      </x:c>
      <x:c r="B81" t="n">
        <x:f>'01 Sensory Input'!B81</x:f>
        <x:v>16</x:v>
      </x:c>
      <x:c r="C81" s="12" t="n">
        <x:f>'01 Sensory Input'!C81</x:f>
        <x:v>0.44</x:v>
      </x:c>
      <x:c r="D81" s="12" t="n">
        <x:f>'01 Sensory Input'!D81</x:f>
        <x:v>0.35</x:v>
      </x:c>
      <x:c r="E81" s="12" t="n">
        <x:f>'01 Sensory Input'!E81</x:f>
        <x:v>0.15</x:v>
      </x:c>
      <x:c r="F81" s="12" t="n">
        <x:f>'01 Sensory Input'!F81</x:f>
        <x:v>0.22</x:v>
      </x:c>
      <x:c r="G81" s="12" t="n">
        <x:f>'01 Sensory Input'!G81</x:f>
        <x:v>0.3</x:v>
      </x:c>
      <x:c r="H81" t="n">
        <x:f>'02a n'!C81</x:f>
        <x:v>0</x:v>
      </x:c>
      <x:c r="I81" t="n">
        <x:f>'02a n'!D81</x:f>
        <x:v>0</x:v>
      </x:c>
      <x:c r="J81" t="n">
        <x:f>'02a n'!E81</x:f>
        <x:v>0</x:v>
      </x:c>
      <x:c r="K81" t="n">
        <x:f>'02a n'!F81</x:f>
        <x:v>0</x:v>
      </x:c>
      <x:c r="L81" t="n">
        <x:f>'02a n'!G81</x:f>
        <x:v>0</x:v>
      </x:c>
      <x:c r="M81" t="n">
        <x:f>'02b n^-1'!C81</x:f>
        <x:v>0</x:v>
      </x:c>
      <x:c r="N81" t="n">
        <x:f>'02b n^-1'!D81</x:f>
        <x:v>0</x:v>
      </x:c>
      <x:c r="O81" t="n">
        <x:f>'02b n^-1'!E81</x:f>
        <x:v>0</x:v>
      </x:c>
      <x:c r="P81" t="n">
        <x:f>'02b n^-1'!F81</x:f>
        <x:v>0</x:v>
      </x:c>
      <x:c r="Q81" t="n">
        <x:f>'02b n^-1'!G81</x:f>
        <x:v>0</x:v>
      </x:c>
      <x:c r="R81" t="n">
        <x:f>'02b n^-1'!H81</x:f>
        <x:v>0</x:v>
      </x:c>
      <x:c r="S81" s="12" t="n">
        <x:f>'02c n^-2'!C81</x:f>
        <x:v>0</x:v>
      </x:c>
      <x:c r="T81" t="n">
        <x:f>'02c n^-2'!D81</x:f>
        <x:v>0</x:v>
      </x:c>
      <x:c r="U81" t="n">
        <x:f>'05 Gate Output'!H81</x:f>
        <x:v>1</x:v>
      </x:c>
      <x:c r="V81" t="n">
        <x:f>'05 Gate Output'!I81</x:f>
        <x:v>0</x:v>
      </x:c>
      <x:c r="W81" t="n">
        <x:f>'05 Gate Output'!J81</x:f>
        <x:v>0</x:v>
      </x:c>
      <x:c r="X81" t="n">
        <x:f>'05 Gate Output'!K81</x:f>
        <x:v>0</x:v>
      </x:c>
      <x:c r="Y81" t="n">
        <x:f>'05 Gate Output'!L81</x:f>
        <x:v>0</x:v>
      </x:c>
      <x:c r="Z81" t="n">
        <x:f>'05 Gate Output'!M81</x:f>
        <x:v>0</x:v>
      </x:c>
    </x:row>
    <x:row r="82">
      <x:c r="A82" t="n">
        <x:f>'01 Sensory Input'!A82</x:f>
        <x:v>4</x:v>
      </x:c>
      <x:c r="B82" t="n">
        <x:f>'01 Sensory Input'!B82</x:f>
        <x:v>17</x:v>
      </x:c>
      <x:c r="C82" s="12" t="n">
        <x:f>'01 Sensory Input'!C82</x:f>
        <x:v>0.48</x:v>
      </x:c>
      <x:c r="D82" s="12" t="n">
        <x:f>'01 Sensory Input'!D82</x:f>
        <x:v>0.39</x:v>
      </x:c>
      <x:c r="E82" s="12" t="n">
        <x:f>'01 Sensory Input'!E82</x:f>
        <x:v>0.2</x:v>
      </x:c>
      <x:c r="F82" s="12" t="n">
        <x:f>'01 Sensory Input'!F82</x:f>
        <x:v>0.24</x:v>
      </x:c>
      <x:c r="G82" s="12" t="n">
        <x:f>'01 Sensory Input'!G82</x:f>
        <x:v>0.32</x:v>
      </x:c>
      <x:c r="H82" t="n">
        <x:f>'02a n'!C82</x:f>
        <x:v>0</x:v>
      </x:c>
      <x:c r="I82" t="n">
        <x:f>'02a n'!D82</x:f>
        <x:v>0</x:v>
      </x:c>
      <x:c r="J82" t="n">
        <x:f>'02a n'!E82</x:f>
        <x:v>0</x:v>
      </x:c>
      <x:c r="K82" t="n">
        <x:f>'02a n'!F82</x:f>
        <x:v>0</x:v>
      </x:c>
      <x:c r="L82" t="n">
        <x:f>'02a n'!G82</x:f>
        <x:v>0</x:v>
      </x:c>
      <x:c r="M82" t="n">
        <x:f>'02b n^-1'!C82</x:f>
        <x:v>0</x:v>
      </x:c>
      <x:c r="N82" t="n">
        <x:f>'02b n^-1'!D82</x:f>
        <x:v>0</x:v>
      </x:c>
      <x:c r="O82" t="n">
        <x:f>'02b n^-1'!E82</x:f>
        <x:v>0</x:v>
      </x:c>
      <x:c r="P82" t="n">
        <x:f>'02b n^-1'!F82</x:f>
        <x:v>0</x:v>
      </x:c>
      <x:c r="Q82" t="n">
        <x:f>'02b n^-1'!G82</x:f>
        <x:v>0</x:v>
      </x:c>
      <x:c r="R82" t="n">
        <x:f>'02b n^-1'!H82</x:f>
        <x:v>0</x:v>
      </x:c>
      <x:c r="S82" s="12" t="n">
        <x:f>'02c n^-2'!C82</x:f>
        <x:v>0</x:v>
      </x:c>
      <x:c r="T82" t="n">
        <x:f>'02c n^-2'!D82</x:f>
        <x:v>0</x:v>
      </x:c>
      <x:c r="U82" t="n">
        <x:f>'05 Gate Output'!H82</x:f>
        <x:v>1</x:v>
      </x:c>
      <x:c r="V82" t="n">
        <x:f>'05 Gate Output'!I82</x:f>
        <x:v>0</x:v>
      </x:c>
      <x:c r="W82" t="n">
        <x:f>'05 Gate Output'!J82</x:f>
        <x:v>0</x:v>
      </x:c>
      <x:c r="X82" t="n">
        <x:f>'05 Gate Output'!K82</x:f>
        <x:v>0</x:v>
      </x:c>
      <x:c r="Y82" t="n">
        <x:f>'05 Gate Output'!L82</x:f>
        <x:v>0</x:v>
      </x:c>
      <x:c r="Z82" t="n">
        <x:f>'05 Gate Output'!M82</x:f>
        <x:v>0</x:v>
      </x:c>
    </x:row>
    <x:row r="83">
      <x:c r="A83" t="n">
        <x:f>'01 Sensory Input'!A83</x:f>
        <x:v>4</x:v>
      </x:c>
      <x:c r="B83" t="n">
        <x:f>'01 Sensory Input'!B83</x:f>
        <x:v>18</x:v>
      </x:c>
      <x:c r="C83" s="12" t="n">
        <x:f>'01 Sensory Input'!C83</x:f>
        <x:v>0.4</x:v>
      </x:c>
      <x:c r="D83" s="12" t="n">
        <x:f>'01 Sensory Input'!D83</x:f>
        <x:v>0.43</x:v>
      </x:c>
      <x:c r="E83" s="12" t="n">
        <x:f>'01 Sensory Input'!E83</x:f>
        <x:v>0.1</x:v>
      </x:c>
      <x:c r="F83" s="12" t="n">
        <x:f>'01 Sensory Input'!F83</x:f>
        <x:v>0.26</x:v>
      </x:c>
      <x:c r="G83" s="12" t="n">
        <x:f>'01 Sensory Input'!G83</x:f>
        <x:v>0.34</x:v>
      </x:c>
      <x:c r="H83" t="n">
        <x:f>'02a n'!C83</x:f>
        <x:v>0</x:v>
      </x:c>
      <x:c r="I83" t="n">
        <x:f>'02a n'!D83</x:f>
        <x:v>0</x:v>
      </x:c>
      <x:c r="J83" t="n">
        <x:f>'02a n'!E83</x:f>
        <x:v>0</x:v>
      </x:c>
      <x:c r="K83" t="n">
        <x:f>'02a n'!F83</x:f>
        <x:v>0</x:v>
      </x:c>
      <x:c r="L83" t="n">
        <x:f>'02a n'!G83</x:f>
        <x:v>0</x:v>
      </x:c>
      <x:c r="M83" t="n">
        <x:f>'02b n^-1'!C83</x:f>
        <x:v>0</x:v>
      </x:c>
      <x:c r="N83" t="n">
        <x:f>'02b n^-1'!D83</x:f>
        <x:v>0</x:v>
      </x:c>
      <x:c r="O83" t="n">
        <x:f>'02b n^-1'!E83</x:f>
        <x:v>0</x:v>
      </x:c>
      <x:c r="P83" t="n">
        <x:f>'02b n^-1'!F83</x:f>
        <x:v>0</x:v>
      </x:c>
      <x:c r="Q83" t="n">
        <x:f>'02b n^-1'!G83</x:f>
        <x:v>0</x:v>
      </x:c>
      <x:c r="R83" t="n">
        <x:f>'02b n^-1'!H83</x:f>
        <x:v>0</x:v>
      </x:c>
      <x:c r="S83" s="12" t="n">
        <x:f>'02c n^-2'!C83</x:f>
        <x:v>0</x:v>
      </x:c>
      <x:c r="T83" t="n">
        <x:f>'02c n^-2'!D83</x:f>
        <x:v>0</x:v>
      </x:c>
      <x:c r="U83" t="n">
        <x:f>'05 Gate Output'!H83</x:f>
        <x:v>1</x:v>
      </x:c>
      <x:c r="V83" t="n">
        <x:f>'05 Gate Output'!I83</x:f>
        <x:v>0</x:v>
      </x:c>
      <x:c r="W83" t="n">
        <x:f>'05 Gate Output'!J83</x:f>
        <x:v>0</x:v>
      </x:c>
      <x:c r="X83" t="n">
        <x:f>'05 Gate Output'!K83</x:f>
        <x:v>0</x:v>
      </x:c>
      <x:c r="Y83" t="n">
        <x:f>'05 Gate Output'!L83</x:f>
        <x:v>0</x:v>
      </x:c>
      <x:c r="Z83" t="n">
        <x:f>'05 Gate Output'!M83</x:f>
        <x:v>0</x:v>
      </x:c>
    </x:row>
    <x:row r="84">
      <x:c r="A84" t="n">
        <x:f>'01 Sensory Input'!A84</x:f>
        <x:v>4</x:v>
      </x:c>
      <x:c r="B84" t="n">
        <x:f>'01 Sensory Input'!B84</x:f>
        <x:v>19</x:v>
      </x:c>
      <x:c r="C84" s="12" t="n">
        <x:f>'01 Sensory Input'!C84</x:f>
        <x:v>0.44</x:v>
      </x:c>
      <x:c r="D84" s="12" t="n">
        <x:f>'01 Sensory Input'!D84</x:f>
        <x:v>0.47</x:v>
      </x:c>
      <x:c r="E84" s="12" t="n">
        <x:f>'01 Sensory Input'!E84</x:f>
        <x:v>0.15</x:v>
      </x:c>
      <x:c r="F84" s="12" t="n">
        <x:f>'01 Sensory Input'!F84</x:f>
        <x:v>0.28</x:v>
      </x:c>
      <x:c r="G84" s="12" t="n">
        <x:f>'01 Sensory Input'!G84</x:f>
        <x:v>0.36</x:v>
      </x:c>
      <x:c r="H84" t="n">
        <x:f>'02a n'!C84</x:f>
        <x:v>0</x:v>
      </x:c>
      <x:c r="I84" t="n">
        <x:f>'02a n'!D84</x:f>
        <x:v>0</x:v>
      </x:c>
      <x:c r="J84" t="n">
        <x:f>'02a n'!E84</x:f>
        <x:v>0</x:v>
      </x:c>
      <x:c r="K84" t="n">
        <x:f>'02a n'!F84</x:f>
        <x:v>0</x:v>
      </x:c>
      <x:c r="L84" t="n">
        <x:f>'02a n'!G84</x:f>
        <x:v>0</x:v>
      </x:c>
      <x:c r="M84" t="n">
        <x:f>'02b n^-1'!C84</x:f>
        <x:v>0</x:v>
      </x:c>
      <x:c r="N84" t="n">
        <x:f>'02b n^-1'!D84</x:f>
        <x:v>0</x:v>
      </x:c>
      <x:c r="O84" t="n">
        <x:f>'02b n^-1'!E84</x:f>
        <x:v>0</x:v>
      </x:c>
      <x:c r="P84" t="n">
        <x:f>'02b n^-1'!F84</x:f>
        <x:v>0</x:v>
      </x:c>
      <x:c r="Q84" t="n">
        <x:f>'02b n^-1'!G84</x:f>
        <x:v>0</x:v>
      </x:c>
      <x:c r="R84" t="n">
        <x:f>'02b n^-1'!H84</x:f>
        <x:v>0</x:v>
      </x:c>
      <x:c r="S84" s="12" t="n">
        <x:f>'02c n^-2'!C84</x:f>
        <x:v>0</x:v>
      </x:c>
      <x:c r="T84" t="n">
        <x:f>'02c n^-2'!D84</x:f>
        <x:v>0</x:v>
      </x:c>
      <x:c r="U84" t="n">
        <x:f>'05 Gate Output'!H84</x:f>
        <x:v>1</x:v>
      </x:c>
      <x:c r="V84" t="n">
        <x:f>'05 Gate Output'!I84</x:f>
        <x:v>0</x:v>
      </x:c>
      <x:c r="W84" t="n">
        <x:f>'05 Gate Output'!J84</x:f>
        <x:v>0</x:v>
      </x:c>
      <x:c r="X84" t="n">
        <x:f>'05 Gate Output'!K84</x:f>
        <x:v>0</x:v>
      </x:c>
      <x:c r="Y84" t="n">
        <x:f>'05 Gate Output'!L84</x:f>
        <x:v>0</x:v>
      </x:c>
      <x:c r="Z84" t="n">
        <x:f>'05 Gate Output'!M84</x:f>
        <x:v>0</x:v>
      </x:c>
    </x:row>
    <x:row r="85">
      <x:c r="A85" t="n">
        <x:f>'01 Sensory Input'!A85</x:f>
        <x:v>4</x:v>
      </x:c>
      <x:c r="B85" t="n">
        <x:f>'01 Sensory Input'!B85</x:f>
        <x:v>20</x:v>
      </x:c>
      <x:c r="C85" s="12" t="n">
        <x:f>'01 Sensory Input'!C85</x:f>
        <x:v>0.48</x:v>
      </x:c>
      <x:c r="D85" s="12" t="n">
        <x:f>'01 Sensory Input'!D85</x:f>
        <x:v>0.35</x:v>
      </x:c>
      <x:c r="E85" s="12" t="n">
        <x:f>'01 Sensory Input'!E85</x:f>
        <x:v>0.2</x:v>
      </x:c>
      <x:c r="F85" s="12" t="n">
        <x:f>'01 Sensory Input'!F85</x:f>
        <x:v>0.22</x:v>
      </x:c>
      <x:c r="G85" s="12" t="n">
        <x:f>'01 Sensory Input'!G85</x:f>
        <x:v>0.28</x:v>
      </x:c>
      <x:c r="H85" t="n">
        <x:f>'02a n'!C85</x:f>
        <x:v>0</x:v>
      </x:c>
      <x:c r="I85" t="n">
        <x:f>'02a n'!D85</x:f>
        <x:v>0</x:v>
      </x:c>
      <x:c r="J85" t="n">
        <x:f>'02a n'!E85</x:f>
        <x:v>0</x:v>
      </x:c>
      <x:c r="K85" t="n">
        <x:f>'02a n'!F85</x:f>
        <x:v>0</x:v>
      </x:c>
      <x:c r="L85" t="n">
        <x:f>'02a n'!G85</x:f>
        <x:v>0</x:v>
      </x:c>
      <x:c r="M85" t="n">
        <x:f>'02b n^-1'!C85</x:f>
        <x:v>0</x:v>
      </x:c>
      <x:c r="N85" t="n">
        <x:f>'02b n^-1'!D85</x:f>
        <x:v>0</x:v>
      </x:c>
      <x:c r="O85" t="n">
        <x:f>'02b n^-1'!E85</x:f>
        <x:v>0</x:v>
      </x:c>
      <x:c r="P85" t="n">
        <x:f>'02b n^-1'!F85</x:f>
        <x:v>0</x:v>
      </x:c>
      <x:c r="Q85" t="n">
        <x:f>'02b n^-1'!G85</x:f>
        <x:v>0</x:v>
      </x:c>
      <x:c r="R85" t="n">
        <x:f>'02b n^-1'!H85</x:f>
        <x:v>0</x:v>
      </x:c>
      <x:c r="S85" s="12" t="n">
        <x:f>'02c n^-2'!C85</x:f>
        <x:v>0</x:v>
      </x:c>
      <x:c r="T85" t="n">
        <x:f>'02c n^-2'!D85</x:f>
        <x:v>0</x:v>
      </x:c>
      <x:c r="U85" t="n">
        <x:f>'05 Gate Output'!H85</x:f>
        <x:v>1</x:v>
      </x:c>
      <x:c r="V85" t="n">
        <x:f>'05 Gate Output'!I85</x:f>
        <x:v>0</x:v>
      </x:c>
      <x:c r="W85" t="n">
        <x:f>'05 Gate Output'!J85</x:f>
        <x:v>0</x:v>
      </x:c>
      <x:c r="X85" t="n">
        <x:f>'05 Gate Output'!K85</x:f>
        <x:v>0</x:v>
      </x:c>
      <x:c r="Y85" t="n">
        <x:f>'05 Gate Output'!L85</x:f>
        <x:v>0</x:v>
      </x:c>
      <x:c r="Z85" t="n">
        <x:f>'05 Gate Output'!M85</x:f>
        <x:v>0</x:v>
      </x:c>
    </x:row>
    <x:row r="86">
      <x:c r="A86" t="n">
        <x:f>'01 Sensory Input'!A86</x:f>
        <x:v>5</x:v>
      </x:c>
      <x:c r="B86" t="n">
        <x:f>'01 Sensory Input'!B86</x:f>
        <x:v>1</x:v>
      </x:c>
      <x:c r="C86" s="12" t="n">
        <x:f>'01 Sensory Input'!C86</x:f>
        <x:v>0.33</x:v>
      </x:c>
      <x:c r="D86" s="12" t="n">
        <x:f>'01 Sensory Input'!D86</x:f>
        <x:v>0.35</x:v>
      </x:c>
      <x:c r="E86" s="12" t="n">
        <x:f>'01 Sensory Input'!E86</x:f>
        <x:v>0.34</x:v>
      </x:c>
      <x:c r="F86" s="12" t="n">
        <x:f>'01 Sensory Input'!F86</x:f>
        <x:v>0.27</x:v>
      </x:c>
      <x:c r="G86" s="12" t="n">
        <x:f>'01 Sensory Input'!G86</x:f>
        <x:v>0.3</x:v>
      </x:c>
      <x:c r="H86" t="n">
        <x:f>'02a n'!C86</x:f>
        <x:v>0</x:v>
      </x:c>
      <x:c r="I86" t="n">
        <x:f>'02a n'!D86</x:f>
        <x:v>0</x:v>
      </x:c>
      <x:c r="J86" t="n">
        <x:f>'02a n'!E86</x:f>
        <x:v>0</x:v>
      </x:c>
      <x:c r="K86" t="n">
        <x:f>'02a n'!F86</x:f>
        <x:v>0</x:v>
      </x:c>
      <x:c r="L86" t="n">
        <x:f>'02a n'!G86</x:f>
        <x:v>0</x:v>
      </x:c>
      <x:c r="M86" t="n">
        <x:f>'02b n^-1'!C86</x:f>
        <x:v>0</x:v>
      </x:c>
      <x:c r="N86" t="n">
        <x:f>'02b n^-1'!D86</x:f>
        <x:v>0</x:v>
      </x:c>
      <x:c r="O86" t="n">
        <x:f>'02b n^-1'!E86</x:f>
        <x:v>0</x:v>
      </x:c>
      <x:c r="P86" t="n">
        <x:f>'02b n^-1'!F86</x:f>
        <x:v>0</x:v>
      </x:c>
      <x:c r="Q86" t="n">
        <x:f>'02b n^-1'!G86</x:f>
        <x:v>0</x:v>
      </x:c>
      <x:c r="R86" t="n">
        <x:f>'02b n^-1'!H86</x:f>
        <x:v>0</x:v>
      </x:c>
      <x:c r="S86" s="12" t="n">
        <x:f>'02c n^-2'!C86</x:f>
        <x:v>0</x:v>
      </x:c>
      <x:c r="T86" t="n">
        <x:f>'02c n^-2'!D86</x:f>
        <x:v>0</x:v>
      </x:c>
      <x:c r="U86" t="n">
        <x:f>'05 Gate Output'!H86</x:f>
        <x:v>1</x:v>
      </x:c>
      <x:c r="V86" t="n">
        <x:f>'05 Gate Output'!I86</x:f>
        <x:v>0</x:v>
      </x:c>
      <x:c r="W86" t="n">
        <x:f>'05 Gate Output'!J86</x:f>
        <x:v>0</x:v>
      </x:c>
      <x:c r="X86" t="n">
        <x:f>'05 Gate Output'!K86</x:f>
        <x:v>0</x:v>
      </x:c>
      <x:c r="Y86" t="n">
        <x:f>'05 Gate Output'!L86</x:f>
        <x:v>0</x:v>
      </x:c>
      <x:c r="Z86" t="n">
        <x:f>'05 Gate Output'!M86</x:f>
        <x:v>0</x:v>
      </x:c>
    </x:row>
    <x:row r="87">
      <x:c r="A87" t="n">
        <x:f>'01 Sensory Input'!A87</x:f>
        <x:v>5</x:v>
      </x:c>
      <x:c r="B87" t="n">
        <x:f>'01 Sensory Input'!B87</x:f>
        <x:v>2</x:v>
      </x:c>
      <x:c r="C87" s="12" t="n">
        <x:f>'01 Sensory Input'!C87</x:f>
        <x:v>0.36</x:v>
      </x:c>
      <x:c r="D87" s="12" t="n">
        <x:f>'01 Sensory Input'!D87</x:f>
        <x:v>0.38</x:v>
      </x:c>
      <x:c r="E87" s="12" t="n">
        <x:f>'01 Sensory Input'!E87</x:f>
        <x:v>0.3</x:v>
      </x:c>
      <x:c r="F87" s="12" t="n">
        <x:f>'01 Sensory Input'!F87</x:f>
        <x:v>0.3</x:v>
      </x:c>
      <x:c r="G87" s="12" t="n">
        <x:f>'01 Sensory Input'!G87</x:f>
        <x:v>0.34</x:v>
      </x:c>
      <x:c r="H87" t="n">
        <x:f>'02a n'!C87</x:f>
        <x:v>0</x:v>
      </x:c>
      <x:c r="I87" t="n">
        <x:f>'02a n'!D87</x:f>
        <x:v>0</x:v>
      </x:c>
      <x:c r="J87" t="n">
        <x:f>'02a n'!E87</x:f>
        <x:v>0</x:v>
      </x:c>
      <x:c r="K87" t="n">
        <x:f>'02a n'!F87</x:f>
        <x:v>0</x:v>
      </x:c>
      <x:c r="L87" t="n">
        <x:f>'02a n'!G87</x:f>
        <x:v>0</x:v>
      </x:c>
      <x:c r="M87" t="n">
        <x:f>'02b n^-1'!C87</x:f>
        <x:v>0</x:v>
      </x:c>
      <x:c r="N87" t="n">
        <x:f>'02b n^-1'!D87</x:f>
        <x:v>0</x:v>
      </x:c>
      <x:c r="O87" t="n">
        <x:f>'02b n^-1'!E87</x:f>
        <x:v>0</x:v>
      </x:c>
      <x:c r="P87" t="n">
        <x:f>'02b n^-1'!F87</x:f>
        <x:v>0</x:v>
      </x:c>
      <x:c r="Q87" t="n">
        <x:f>'02b n^-1'!G87</x:f>
        <x:v>0</x:v>
      </x:c>
      <x:c r="R87" t="n">
        <x:f>'02b n^-1'!H87</x:f>
        <x:v>0</x:v>
      </x:c>
      <x:c r="S87" s="12" t="n">
        <x:f>'02c n^-2'!C87</x:f>
        <x:v>0</x:v>
      </x:c>
      <x:c r="T87" t="n">
        <x:f>'02c n^-2'!D87</x:f>
        <x:v>0</x:v>
      </x:c>
      <x:c r="U87" t="n">
        <x:f>'05 Gate Output'!H87</x:f>
        <x:v>1</x:v>
      </x:c>
      <x:c r="V87" t="n">
        <x:f>'05 Gate Output'!I87</x:f>
        <x:v>0</x:v>
      </x:c>
      <x:c r="W87" t="n">
        <x:f>'05 Gate Output'!J87</x:f>
        <x:v>0</x:v>
      </x:c>
      <x:c r="X87" t="n">
        <x:f>'05 Gate Output'!K87</x:f>
        <x:v>0</x:v>
      </x:c>
      <x:c r="Y87" t="n">
        <x:f>'05 Gate Output'!L87</x:f>
        <x:v>0</x:v>
      </x:c>
      <x:c r="Z87" t="n">
        <x:f>'05 Gate Output'!M87</x:f>
        <x:v>0</x:v>
      </x:c>
    </x:row>
    <x:row r="88">
      <x:c r="A88" t="n">
        <x:f>'01 Sensory Input'!A88</x:f>
        <x:v>5</x:v>
      </x:c>
      <x:c r="B88" t="n">
        <x:f>'01 Sensory Input'!B88</x:f>
        <x:v>3</x:v>
      </x:c>
      <x:c r="C88" s="12" t="n">
        <x:f>'01 Sensory Input'!C88</x:f>
        <x:v>0.39</x:v>
      </x:c>
      <x:c r="D88" s="12" t="n">
        <x:f>'01 Sensory Input'!D88</x:f>
        <x:v>0.41</x:v>
      </x:c>
      <x:c r="E88" s="12" t="n">
        <x:f>'01 Sensory Input'!E88</x:f>
        <x:v>0.34</x:v>
      </x:c>
      <x:c r="F88" s="12" t="n">
        <x:f>'01 Sensory Input'!F88</x:f>
        <x:v>0.33</x:v>
      </x:c>
      <x:c r="G88" s="12" t="n">
        <x:f>'01 Sensory Input'!G88</x:f>
        <x:v>0.26</x:v>
      </x:c>
      <x:c r="H88" t="n">
        <x:f>'02a n'!C88</x:f>
        <x:v>0</x:v>
      </x:c>
      <x:c r="I88" t="n">
        <x:f>'02a n'!D88</x:f>
        <x:v>0</x:v>
      </x:c>
      <x:c r="J88" t="n">
        <x:f>'02a n'!E88</x:f>
        <x:v>0</x:v>
      </x:c>
      <x:c r="K88" t="n">
        <x:f>'02a n'!F88</x:f>
        <x:v>0</x:v>
      </x:c>
      <x:c r="L88" t="n">
        <x:f>'02a n'!G88</x:f>
        <x:v>0</x:v>
      </x:c>
      <x:c r="M88" t="n">
        <x:f>'02b n^-1'!C88</x:f>
        <x:v>0</x:v>
      </x:c>
      <x:c r="N88" t="n">
        <x:f>'02b n^-1'!D88</x:f>
        <x:v>0</x:v>
      </x:c>
      <x:c r="O88" t="n">
        <x:f>'02b n^-1'!E88</x:f>
        <x:v>0</x:v>
      </x:c>
      <x:c r="P88" t="n">
        <x:f>'02b n^-1'!F88</x:f>
        <x:v>0</x:v>
      </x:c>
      <x:c r="Q88" t="n">
        <x:f>'02b n^-1'!G88</x:f>
        <x:v>0</x:v>
      </x:c>
      <x:c r="R88" t="n">
        <x:f>'02b n^-1'!H88</x:f>
        <x:v>0</x:v>
      </x:c>
      <x:c r="S88" s="12" t="n">
        <x:f>'02c n^-2'!C88</x:f>
        <x:v>0</x:v>
      </x:c>
      <x:c r="T88" t="n">
        <x:f>'02c n^-2'!D88</x:f>
        <x:v>0</x:v>
      </x:c>
      <x:c r="U88" t="n">
        <x:f>'05 Gate Output'!H88</x:f>
        <x:v>1</x:v>
      </x:c>
      <x:c r="V88" t="n">
        <x:f>'05 Gate Output'!I88</x:f>
        <x:v>0</x:v>
      </x:c>
      <x:c r="W88" t="n">
        <x:f>'05 Gate Output'!J88</x:f>
        <x:v>0</x:v>
      </x:c>
      <x:c r="X88" t="n">
        <x:f>'05 Gate Output'!K88</x:f>
        <x:v>0</x:v>
      </x:c>
      <x:c r="Y88" t="n">
        <x:f>'05 Gate Output'!L88</x:f>
        <x:v>0</x:v>
      </x:c>
      <x:c r="Z88" t="n">
        <x:f>'05 Gate Output'!M88</x:f>
        <x:v>0</x:v>
      </x:c>
    </x:row>
    <x:row r="89">
      <x:c r="A89" t="n">
        <x:f>'01 Sensory Input'!A89</x:f>
        <x:v>5</x:v>
      </x:c>
      <x:c r="B89" t="n">
        <x:f>'01 Sensory Input'!B89</x:f>
        <x:v>4</x:v>
      </x:c>
      <x:c r="C89" s="12" t="n">
        <x:f>'01 Sensory Input'!C89</x:f>
        <x:v>0.3</x:v>
      </x:c>
      <x:c r="D89" s="12" t="n">
        <x:f>'01 Sensory Input'!D89</x:f>
        <x:v>0.44</x:v>
      </x:c>
      <x:c r="E89" s="12" t="n">
        <x:f>'01 Sensory Input'!E89</x:f>
        <x:v>0.3</x:v>
      </x:c>
      <x:c r="F89" s="12" t="n">
        <x:f>'01 Sensory Input'!F89</x:f>
        <x:v>0.24</x:v>
      </x:c>
      <x:c r="G89" s="12" t="n">
        <x:f>'01 Sensory Input'!G89</x:f>
        <x:v>0.3</x:v>
      </x:c>
      <x:c r="H89" t="n">
        <x:f>'02a n'!C89</x:f>
        <x:v>0</x:v>
      </x:c>
      <x:c r="I89" t="n">
        <x:f>'02a n'!D89</x:f>
        <x:v>0</x:v>
      </x:c>
      <x:c r="J89" t="n">
        <x:f>'02a n'!E89</x:f>
        <x:v>0</x:v>
      </x:c>
      <x:c r="K89" t="n">
        <x:f>'02a n'!F89</x:f>
        <x:v>0</x:v>
      </x:c>
      <x:c r="L89" t="n">
        <x:f>'02a n'!G89</x:f>
        <x:v>0</x:v>
      </x:c>
      <x:c r="M89" t="n">
        <x:f>'02b n^-1'!C89</x:f>
        <x:v>0</x:v>
      </x:c>
      <x:c r="N89" t="n">
        <x:f>'02b n^-1'!D89</x:f>
        <x:v>0</x:v>
      </x:c>
      <x:c r="O89" t="n">
        <x:f>'02b n^-1'!E89</x:f>
        <x:v>0</x:v>
      </x:c>
      <x:c r="P89" t="n">
        <x:f>'02b n^-1'!F89</x:f>
        <x:v>0</x:v>
      </x:c>
      <x:c r="Q89" t="n">
        <x:f>'02b n^-1'!G89</x:f>
        <x:v>0</x:v>
      </x:c>
      <x:c r="R89" t="n">
        <x:f>'02b n^-1'!H89</x:f>
        <x:v>0</x:v>
      </x:c>
      <x:c r="S89" s="12" t="n">
        <x:f>'02c n^-2'!C89</x:f>
        <x:v>0</x:v>
      </x:c>
      <x:c r="T89" t="n">
        <x:f>'02c n^-2'!D89</x:f>
        <x:v>0</x:v>
      </x:c>
      <x:c r="U89" t="n">
        <x:f>'05 Gate Output'!H89</x:f>
        <x:v>1</x:v>
      </x:c>
      <x:c r="V89" t="n">
        <x:f>'05 Gate Output'!I89</x:f>
        <x:v>0</x:v>
      </x:c>
      <x:c r="W89" t="n">
        <x:f>'05 Gate Output'!J89</x:f>
        <x:v>0</x:v>
      </x:c>
      <x:c r="X89" t="n">
        <x:f>'05 Gate Output'!K89</x:f>
        <x:v>0</x:v>
      </x:c>
      <x:c r="Y89" t="n">
        <x:f>'05 Gate Output'!L89</x:f>
        <x:v>0</x:v>
      </x:c>
      <x:c r="Z89" t="n">
        <x:f>'05 Gate Output'!M89</x:f>
        <x:v>0</x:v>
      </x:c>
    </x:row>
    <x:row r="90">
      <x:c r="A90" t="n">
        <x:f>'01 Sensory Input'!A90</x:f>
        <x:v>5</x:v>
      </x:c>
      <x:c r="B90" t="n">
        <x:f>'01 Sensory Input'!B90</x:f>
        <x:v>5</x:v>
      </x:c>
      <x:c r="C90" s="12" t="n">
        <x:f>'01 Sensory Input'!C90</x:f>
        <x:v>0.33</x:v>
      </x:c>
      <x:c r="D90" s="12" t="n">
        <x:f>'01 Sensory Input'!D90</x:f>
        <x:v>0.32</x:v>
      </x:c>
      <x:c r="E90" s="12" t="n">
        <x:f>'01 Sensory Input'!E90</x:f>
        <x:v>0.34</x:v>
      </x:c>
      <x:c r="F90" s="12" t="n">
        <x:f>'01 Sensory Input'!F90</x:f>
        <x:v>0.27</x:v>
      </x:c>
      <x:c r="G90" s="12" t="n">
        <x:f>'01 Sensory Input'!G90</x:f>
        <x:v>0.34</x:v>
      </x:c>
      <x:c r="H90" t="n">
        <x:f>'02a n'!C90</x:f>
        <x:v>0</x:v>
      </x:c>
      <x:c r="I90" t="n">
        <x:f>'02a n'!D90</x:f>
        <x:v>0</x:v>
      </x:c>
      <x:c r="J90" t="n">
        <x:f>'02a n'!E90</x:f>
        <x:v>0</x:v>
      </x:c>
      <x:c r="K90" t="n">
        <x:f>'02a n'!F90</x:f>
        <x:v>0</x:v>
      </x:c>
      <x:c r="L90" t="n">
        <x:f>'02a n'!G90</x:f>
        <x:v>0</x:v>
      </x:c>
      <x:c r="M90" t="n">
        <x:f>'02b n^-1'!C90</x:f>
        <x:v>0</x:v>
      </x:c>
      <x:c r="N90" t="n">
        <x:f>'02b n^-1'!D90</x:f>
        <x:v>0</x:v>
      </x:c>
      <x:c r="O90" t="n">
        <x:f>'02b n^-1'!E90</x:f>
        <x:v>0</x:v>
      </x:c>
      <x:c r="P90" t="n">
        <x:f>'02b n^-1'!F90</x:f>
        <x:v>0</x:v>
      </x:c>
      <x:c r="Q90" t="n">
        <x:f>'02b n^-1'!G90</x:f>
        <x:v>0</x:v>
      </x:c>
      <x:c r="R90" t="n">
        <x:f>'02b n^-1'!H90</x:f>
        <x:v>0</x:v>
      </x:c>
      <x:c r="S90" s="12" t="n">
        <x:f>'02c n^-2'!C90</x:f>
        <x:v>0</x:v>
      </x:c>
      <x:c r="T90" t="n">
        <x:f>'02c n^-2'!D90</x:f>
        <x:v>0</x:v>
      </x:c>
      <x:c r="U90" t="n">
        <x:f>'05 Gate Output'!H90</x:f>
        <x:v>1</x:v>
      </x:c>
      <x:c r="V90" t="n">
        <x:f>'05 Gate Output'!I90</x:f>
        <x:v>0</x:v>
      </x:c>
      <x:c r="W90" t="n">
        <x:f>'05 Gate Output'!J90</x:f>
        <x:v>0</x:v>
      </x:c>
      <x:c r="X90" t="n">
        <x:f>'05 Gate Output'!K90</x:f>
        <x:v>0</x:v>
      </x:c>
      <x:c r="Y90" t="n">
        <x:f>'05 Gate Output'!L90</x:f>
        <x:v>0</x:v>
      </x:c>
      <x:c r="Z90" t="n">
        <x:f>'05 Gate Output'!M90</x:f>
        <x:v>0</x:v>
      </x:c>
    </x:row>
    <x:row r="91">
      <x:c r="A91" t="n">
        <x:f>'01 Sensory Input'!A91</x:f>
        <x:v>5</x:v>
      </x:c>
      <x:c r="B91" t="n">
        <x:f>'01 Sensory Input'!B91</x:f>
        <x:v>6</x:v>
      </x:c>
      <x:c r="C91" s="12" t="n">
        <x:f>'01 Sensory Input'!C91</x:f>
        <x:v>0.36</x:v>
      </x:c>
      <x:c r="D91" s="12" t="n">
        <x:f>'01 Sensory Input'!D91</x:f>
        <x:v>0.35</x:v>
      </x:c>
      <x:c r="E91" s="12" t="n">
        <x:f>'01 Sensory Input'!E91</x:f>
        <x:v>0.3</x:v>
      </x:c>
      <x:c r="F91" s="12" t="n">
        <x:f>'01 Sensory Input'!F91</x:f>
        <x:v>0.3</x:v>
      </x:c>
      <x:c r="G91" s="12" t="n">
        <x:f>'01 Sensory Input'!G91</x:f>
        <x:v>0.26</x:v>
      </x:c>
      <x:c r="H91" t="n">
        <x:f>'02a n'!C91</x:f>
        <x:v>0</x:v>
      </x:c>
      <x:c r="I91" t="n">
        <x:f>'02a n'!D91</x:f>
        <x:v>0</x:v>
      </x:c>
      <x:c r="J91" t="n">
        <x:f>'02a n'!E91</x:f>
        <x:v>0</x:v>
      </x:c>
      <x:c r="K91" t="n">
        <x:f>'02a n'!F91</x:f>
        <x:v>0</x:v>
      </x:c>
      <x:c r="L91" t="n">
        <x:f>'02a n'!G91</x:f>
        <x:v>0</x:v>
      </x:c>
      <x:c r="M91" t="n">
        <x:f>'02b n^-1'!C91</x:f>
        <x:v>0</x:v>
      </x:c>
      <x:c r="N91" t="n">
        <x:f>'02b n^-1'!D91</x:f>
        <x:v>0</x:v>
      </x:c>
      <x:c r="O91" t="n">
        <x:f>'02b n^-1'!E91</x:f>
        <x:v>0</x:v>
      </x:c>
      <x:c r="P91" t="n">
        <x:f>'02b n^-1'!F91</x:f>
        <x:v>0</x:v>
      </x:c>
      <x:c r="Q91" t="n">
        <x:f>'02b n^-1'!G91</x:f>
        <x:v>0</x:v>
      </x:c>
      <x:c r="R91" t="n">
        <x:f>'02b n^-1'!H91</x:f>
        <x:v>0</x:v>
      </x:c>
      <x:c r="S91" s="12" t="n">
        <x:f>'02c n^-2'!C91</x:f>
        <x:v>0</x:v>
      </x:c>
      <x:c r="T91" t="n">
        <x:f>'02c n^-2'!D91</x:f>
        <x:v>0</x:v>
      </x:c>
      <x:c r="U91" t="n">
        <x:f>'05 Gate Output'!H91</x:f>
        <x:v>1</x:v>
      </x:c>
      <x:c r="V91" t="n">
        <x:f>'05 Gate Output'!I91</x:f>
        <x:v>0</x:v>
      </x:c>
      <x:c r="W91" t="n">
        <x:f>'05 Gate Output'!J91</x:f>
        <x:v>0</x:v>
      </x:c>
      <x:c r="X91" t="n">
        <x:f>'05 Gate Output'!K91</x:f>
        <x:v>0</x:v>
      </x:c>
      <x:c r="Y91" t="n">
        <x:f>'05 Gate Output'!L91</x:f>
        <x:v>0</x:v>
      </x:c>
      <x:c r="Z91" t="n">
        <x:f>'05 Gate Output'!M91</x:f>
        <x:v>0</x:v>
      </x:c>
    </x:row>
    <x:row r="92">
      <x:c r="A92" t="n">
        <x:f>'01 Sensory Input'!A92</x:f>
        <x:v>5</x:v>
      </x:c>
      <x:c r="B92" t="n">
        <x:f>'01 Sensory Input'!B92</x:f>
        <x:v>7</x:v>
      </x:c>
      <x:c r="C92" s="12" t="n">
        <x:f>'01 Sensory Input'!C92</x:f>
        <x:v>0.39</x:v>
      </x:c>
      <x:c r="D92" s="12" t="n">
        <x:f>'01 Sensory Input'!D92</x:f>
        <x:v>0.38</x:v>
      </x:c>
      <x:c r="E92" s="12" t="n">
        <x:f>'01 Sensory Input'!E92</x:f>
        <x:v>0.34</x:v>
      </x:c>
      <x:c r="F92" s="12" t="n">
        <x:f>'01 Sensory Input'!F92</x:f>
        <x:v>0.33</x:v>
      </x:c>
      <x:c r="G92" s="12" t="n">
        <x:f>'01 Sensory Input'!G92</x:f>
        <x:v>0.3</x:v>
      </x:c>
      <x:c r="H92" t="n">
        <x:f>'02a n'!C92</x:f>
        <x:v>0</x:v>
      </x:c>
      <x:c r="I92" t="n">
        <x:f>'02a n'!D92</x:f>
        <x:v>0</x:v>
      </x:c>
      <x:c r="J92" t="n">
        <x:f>'02a n'!E92</x:f>
        <x:v>0</x:v>
      </x:c>
      <x:c r="K92" t="n">
        <x:f>'02a n'!F92</x:f>
        <x:v>0</x:v>
      </x:c>
      <x:c r="L92" t="n">
        <x:f>'02a n'!G92</x:f>
        <x:v>0</x:v>
      </x:c>
      <x:c r="M92" t="n">
        <x:f>'02b n^-1'!C92</x:f>
        <x:v>0</x:v>
      </x:c>
      <x:c r="N92" t="n">
        <x:f>'02b n^-1'!D92</x:f>
        <x:v>0</x:v>
      </x:c>
      <x:c r="O92" t="n">
        <x:f>'02b n^-1'!E92</x:f>
        <x:v>0</x:v>
      </x:c>
      <x:c r="P92" t="n">
        <x:f>'02b n^-1'!F92</x:f>
        <x:v>0</x:v>
      </x:c>
      <x:c r="Q92" t="n">
        <x:f>'02b n^-1'!G92</x:f>
        <x:v>0</x:v>
      </x:c>
      <x:c r="R92" t="n">
        <x:f>'02b n^-1'!H92</x:f>
        <x:v>0</x:v>
      </x:c>
      <x:c r="S92" s="12" t="n">
        <x:f>'02c n^-2'!C92</x:f>
        <x:v>0</x:v>
      </x:c>
      <x:c r="T92" t="n">
        <x:f>'02c n^-2'!D92</x:f>
        <x:v>0</x:v>
      </x:c>
      <x:c r="U92" t="n">
        <x:f>'05 Gate Output'!H92</x:f>
        <x:v>1</x:v>
      </x:c>
      <x:c r="V92" t="n">
        <x:f>'05 Gate Output'!I92</x:f>
        <x:v>0</x:v>
      </x:c>
      <x:c r="W92" t="n">
        <x:f>'05 Gate Output'!J92</x:f>
        <x:v>0</x:v>
      </x:c>
      <x:c r="X92" t="n">
        <x:f>'05 Gate Output'!K92</x:f>
        <x:v>0</x:v>
      </x:c>
      <x:c r="Y92" t="n">
        <x:f>'05 Gate Output'!L92</x:f>
        <x:v>0</x:v>
      </x:c>
      <x:c r="Z92" t="n">
        <x:f>'05 Gate Output'!M92</x:f>
        <x:v>0</x:v>
      </x:c>
    </x:row>
    <x:row r="93">
      <x:c r="A93" t="n">
        <x:f>'01 Sensory Input'!A93</x:f>
        <x:v>5</x:v>
      </x:c>
      <x:c r="B93" t="n">
        <x:f>'01 Sensory Input'!B93</x:f>
        <x:v>8</x:v>
      </x:c>
      <x:c r="C93" s="12" t="n">
        <x:f>'01 Sensory Input'!C93</x:f>
        <x:v>0.3</x:v>
      </x:c>
      <x:c r="D93" s="12" t="n">
        <x:f>'01 Sensory Input'!D93</x:f>
        <x:v>0.41</x:v>
      </x:c>
      <x:c r="E93" s="12" t="n">
        <x:f>'01 Sensory Input'!E93</x:f>
        <x:v>0.3</x:v>
      </x:c>
      <x:c r="F93" s="12" t="n">
        <x:f>'01 Sensory Input'!F93</x:f>
        <x:v>0.24</x:v>
      </x:c>
      <x:c r="G93" s="12" t="n">
        <x:f>'01 Sensory Input'!G93</x:f>
        <x:v>0.34</x:v>
      </x:c>
      <x:c r="H93" t="n">
        <x:f>'02a n'!C93</x:f>
        <x:v>0</x:v>
      </x:c>
      <x:c r="I93" t="n">
        <x:f>'02a n'!D93</x:f>
        <x:v>0</x:v>
      </x:c>
      <x:c r="J93" t="n">
        <x:f>'02a n'!E93</x:f>
        <x:v>0</x:v>
      </x:c>
      <x:c r="K93" t="n">
        <x:f>'02a n'!F93</x:f>
        <x:v>0</x:v>
      </x:c>
      <x:c r="L93" t="n">
        <x:f>'02a n'!G93</x:f>
        <x:v>0</x:v>
      </x:c>
      <x:c r="M93" t="n">
        <x:f>'02b n^-1'!C93</x:f>
        <x:v>0</x:v>
      </x:c>
      <x:c r="N93" t="n">
        <x:f>'02b n^-1'!D93</x:f>
        <x:v>0</x:v>
      </x:c>
      <x:c r="O93" t="n">
        <x:f>'02b n^-1'!E93</x:f>
        <x:v>0</x:v>
      </x:c>
      <x:c r="P93" t="n">
        <x:f>'02b n^-1'!F93</x:f>
        <x:v>0</x:v>
      </x:c>
      <x:c r="Q93" t="n">
        <x:f>'02b n^-1'!G93</x:f>
        <x:v>0</x:v>
      </x:c>
      <x:c r="R93" t="n">
        <x:f>'02b n^-1'!H93</x:f>
        <x:v>0</x:v>
      </x:c>
      <x:c r="S93" s="12" t="n">
        <x:f>'02c n^-2'!C93</x:f>
        <x:v>0</x:v>
      </x:c>
      <x:c r="T93" t="n">
        <x:f>'02c n^-2'!D93</x:f>
        <x:v>0</x:v>
      </x:c>
      <x:c r="U93" t="n">
        <x:f>'05 Gate Output'!H93</x:f>
        <x:v>1</x:v>
      </x:c>
      <x:c r="V93" t="n">
        <x:f>'05 Gate Output'!I93</x:f>
        <x:v>0</x:v>
      </x:c>
      <x:c r="W93" t="n">
        <x:f>'05 Gate Output'!J93</x:f>
        <x:v>0</x:v>
      </x:c>
      <x:c r="X93" t="n">
        <x:f>'05 Gate Output'!K93</x:f>
        <x:v>0</x:v>
      </x:c>
      <x:c r="Y93" t="n">
        <x:f>'05 Gate Output'!L93</x:f>
        <x:v>0</x:v>
      </x:c>
      <x:c r="Z93" t="n">
        <x:f>'05 Gate Output'!M93</x:f>
        <x:v>0</x:v>
      </x:c>
    </x:row>
    <x:row r="94">
      <x:c r="A94" t="n">
        <x:f>'01 Sensory Input'!A94</x:f>
        <x:v>5</x:v>
      </x:c>
      <x:c r="B94" t="n">
        <x:f>'01 Sensory Input'!B94</x:f>
        <x:v>9</x:v>
      </x:c>
      <x:c r="C94" s="12" t="n">
        <x:f>'01 Sensory Input'!C94</x:f>
        <x:v>0.33</x:v>
      </x:c>
      <x:c r="D94" s="12" t="n">
        <x:f>'01 Sensory Input'!D94</x:f>
        <x:v>0.44</x:v>
      </x:c>
      <x:c r="E94" s="12" t="n">
        <x:f>'01 Sensory Input'!E94</x:f>
        <x:v>0.34</x:v>
      </x:c>
      <x:c r="F94" s="12" t="n">
        <x:f>'01 Sensory Input'!F94</x:f>
        <x:v>0.27</x:v>
      </x:c>
      <x:c r="G94" s="12" t="n">
        <x:f>'01 Sensory Input'!G94</x:f>
        <x:v>0.26</x:v>
      </x:c>
      <x:c r="H94" t="n">
        <x:f>'02a n'!C94</x:f>
        <x:v>0</x:v>
      </x:c>
      <x:c r="I94" t="n">
        <x:f>'02a n'!D94</x:f>
        <x:v>0</x:v>
      </x:c>
      <x:c r="J94" t="n">
        <x:f>'02a n'!E94</x:f>
        <x:v>0</x:v>
      </x:c>
      <x:c r="K94" t="n">
        <x:f>'02a n'!F94</x:f>
        <x:v>0</x:v>
      </x:c>
      <x:c r="L94" t="n">
        <x:f>'02a n'!G94</x:f>
        <x:v>0</x:v>
      </x:c>
      <x:c r="M94" t="n">
        <x:f>'02b n^-1'!C94</x:f>
        <x:v>0</x:v>
      </x:c>
      <x:c r="N94" t="n">
        <x:f>'02b n^-1'!D94</x:f>
        <x:v>0</x:v>
      </x:c>
      <x:c r="O94" t="n">
        <x:f>'02b n^-1'!E94</x:f>
        <x:v>0</x:v>
      </x:c>
      <x:c r="P94" t="n">
        <x:f>'02b n^-1'!F94</x:f>
        <x:v>0</x:v>
      </x:c>
      <x:c r="Q94" t="n">
        <x:f>'02b n^-1'!G94</x:f>
        <x:v>0</x:v>
      </x:c>
      <x:c r="R94" t="n">
        <x:f>'02b n^-1'!H94</x:f>
        <x:v>0</x:v>
      </x:c>
      <x:c r="S94" s="12" t="n">
        <x:f>'02c n^-2'!C94</x:f>
        <x:v>0</x:v>
      </x:c>
      <x:c r="T94" t="n">
        <x:f>'02c n^-2'!D94</x:f>
        <x:v>0</x:v>
      </x:c>
      <x:c r="U94" t="n">
        <x:f>'05 Gate Output'!H94</x:f>
        <x:v>1</x:v>
      </x:c>
      <x:c r="V94" t="n">
        <x:f>'05 Gate Output'!I94</x:f>
        <x:v>0</x:v>
      </x:c>
      <x:c r="W94" t="n">
        <x:f>'05 Gate Output'!J94</x:f>
        <x:v>0</x:v>
      </x:c>
      <x:c r="X94" t="n">
        <x:f>'05 Gate Output'!K94</x:f>
        <x:v>0</x:v>
      </x:c>
      <x:c r="Y94" t="n">
        <x:f>'05 Gate Output'!L94</x:f>
        <x:v>0</x:v>
      </x:c>
      <x:c r="Z94" t="n">
        <x:f>'05 Gate Output'!M94</x:f>
        <x:v>0</x:v>
      </x:c>
    </x:row>
    <x:row r="95">
      <x:c r="A95" t="n">
        <x:f>'01 Sensory Input'!A95</x:f>
        <x:v>5</x:v>
      </x:c>
      <x:c r="B95" t="n">
        <x:f>'01 Sensory Input'!B95</x:f>
        <x:v>10</x:v>
      </x:c>
      <x:c r="C95" s="12" t="n">
        <x:f>'01 Sensory Input'!C95</x:f>
        <x:v>0.9</x:v>
      </x:c>
      <x:c r="D95" s="12" t="n">
        <x:f>'01 Sensory Input'!D95</x:f>
        <x:v>0.88</x:v>
      </x:c>
      <x:c r="E95" s="12" t="n">
        <x:f>'01 Sensory Input'!E95</x:f>
        <x:v>0.3</x:v>
      </x:c>
      <x:c r="F95" s="12" t="n">
        <x:f>'01 Sensory Input'!F95</x:f>
        <x:v>0.3</x:v>
      </x:c>
      <x:c r="G95" s="12" t="n">
        <x:f>'01 Sensory Input'!G95</x:f>
        <x:v>0.3</x:v>
      </x:c>
      <x:c r="H95" t="n">
        <x:f>'02a n'!C95</x:f>
        <x:v>0</x:v>
      </x:c>
      <x:c r="I95" t="n">
        <x:f>'02a n'!D95</x:f>
        <x:v>0</x:v>
      </x:c>
      <x:c r="J95" t="n">
        <x:f>'02a n'!E95</x:f>
        <x:v>0</x:v>
      </x:c>
      <x:c r="K95" t="n">
        <x:f>'02a n'!F95</x:f>
        <x:v>0</x:v>
      </x:c>
      <x:c r="L95" t="n">
        <x:f>'02a n'!G95</x:f>
        <x:v>0</x:v>
      </x:c>
      <x:c r="M95" t="n">
        <x:f>'02b n^-1'!C95</x:f>
        <x:v>1</x:v>
      </x:c>
      <x:c r="N95" t="n">
        <x:f>'02b n^-1'!D95</x:f>
        <x:v>0</x:v>
      </x:c>
      <x:c r="O95" t="n">
        <x:f>'02b n^-1'!E95</x:f>
        <x:v>0</x:v>
      </x:c>
      <x:c r="P95" t="n">
        <x:f>'02b n^-1'!F95</x:f>
        <x:v>0</x:v>
      </x:c>
      <x:c r="Q95" t="n">
        <x:f>'02b n^-1'!G95</x:f>
        <x:v>0</x:v>
      </x:c>
      <x:c r="R95" t="n">
        <x:f>'02b n^-1'!H95</x:f>
        <x:v>0</x:v>
      </x:c>
      <x:c r="S95" s="12" t="n">
        <x:f>'02c n^-2'!C95</x:f>
        <x:v>0.16666666666666666</x:v>
      </x:c>
      <x:c r="T95" t="n">
        <x:f>'02c n^-2'!D95</x:f>
        <x:v>1</x:v>
      </x:c>
      <x:c r="U95" t="n">
        <x:f>'05 Gate Output'!H95</x:f>
        <x:v>0</x:v>
      </x:c>
      <x:c r="V95" t="n">
        <x:f>'05 Gate Output'!I95</x:f>
        <x:v>1</x:v>
      </x:c>
      <x:c r="W95" t="n">
        <x:f>'05 Gate Output'!J95</x:f>
        <x:v>1</x:v>
      </x:c>
      <x:c r="X95" t="n">
        <x:f>'05 Gate Output'!K95</x:f>
        <x:v>1</x:v>
      </x:c>
      <x:c r="Y95" t="n">
        <x:f>'05 Gate Output'!L95</x:f>
        <x:v>0</x:v>
      </x:c>
      <x:c r="Z95" t="n">
        <x:f>'05 Gate Output'!M95</x:f>
        <x:v>1</x:v>
      </x:c>
    </x:row>
    <x:row r="96">
      <x:c r="A96" t="n">
        <x:f>'01 Sensory Input'!A96</x:f>
        <x:v>5</x:v>
      </x:c>
      <x:c r="B96" t="n">
        <x:f>'01 Sensory Input'!B96</x:f>
        <x:v>11</x:v>
      </x:c>
      <x:c r="C96" s="12" t="n">
        <x:f>'01 Sensory Input'!C96</x:f>
        <x:v>0.35</x:v>
      </x:c>
      <x:c r="D96" s="12" t="n">
        <x:f>'01 Sensory Input'!D96</x:f>
        <x:v>0.36</x:v>
      </x:c>
      <x:c r="E96" s="12" t="n">
        <x:f>'01 Sensory Input'!E96</x:f>
        <x:v>0.34</x:v>
      </x:c>
      <x:c r="F96" s="12" t="n">
        <x:f>'01 Sensory Input'!F96</x:f>
        <x:v>0.33</x:v>
      </x:c>
      <x:c r="G96" s="12" t="n">
        <x:f>'01 Sensory Input'!G96</x:f>
        <x:v>0.34</x:v>
      </x:c>
      <x:c r="H96" t="n">
        <x:f>'02a n'!C96</x:f>
        <x:v>0</x:v>
      </x:c>
      <x:c r="I96" t="n">
        <x:f>'02a n'!D96</x:f>
        <x:v>0</x:v>
      </x:c>
      <x:c r="J96" t="n">
        <x:f>'02a n'!E96</x:f>
        <x:v>0</x:v>
      </x:c>
      <x:c r="K96" t="n">
        <x:f>'02a n'!F96</x:f>
        <x:v>0</x:v>
      </x:c>
      <x:c r="L96" t="n">
        <x:f>'02a n'!G96</x:f>
        <x:v>0</x:v>
      </x:c>
      <x:c r="M96" t="n">
        <x:f>'02b n^-1'!C96</x:f>
        <x:v>1</x:v>
      </x:c>
      <x:c r="N96" t="n">
        <x:f>'02b n^-1'!D96</x:f>
        <x:v>1</x:v>
      </x:c>
      <x:c r="O96" t="n">
        <x:f>'02b n^-1'!E96</x:f>
        <x:v>0</x:v>
      </x:c>
      <x:c r="P96" t="n">
        <x:f>'02b n^-1'!F96</x:f>
        <x:v>0</x:v>
      </x:c>
      <x:c r="Q96" t="n">
        <x:f>'02b n^-1'!G96</x:f>
        <x:v>0</x:v>
      </x:c>
      <x:c r="R96" t="n">
        <x:f>'02b n^-1'!H96</x:f>
        <x:v>1</x:v>
      </x:c>
      <x:c r="S96" s="12" t="n">
        <x:f>'02c n^-2'!C96</x:f>
        <x:v>0.5</x:v>
      </x:c>
      <x:c r="T96" t="n">
        <x:f>'02c n^-2'!D96</x:f>
        <x:v>1</x:v>
      </x:c>
      <x:c r="U96" t="n">
        <x:f>'05 Gate Output'!H96</x:f>
        <x:v>0</x:v>
      </x:c>
      <x:c r="V96" t="n">
        <x:f>'05 Gate Output'!I96</x:f>
        <x:v>1</x:v>
      </x:c>
      <x:c r="W96" t="n">
        <x:f>'05 Gate Output'!J96</x:f>
        <x:v>1</x:v>
      </x:c>
      <x:c r="X96" t="n">
        <x:f>'05 Gate Output'!K96</x:f>
        <x:v>1</x:v>
      </x:c>
      <x:c r="Y96" t="n">
        <x:f>'05 Gate Output'!L96</x:f>
        <x:v>0</x:v>
      </x:c>
      <x:c r="Z96" t="n">
        <x:f>'05 Gate Output'!M96</x:f>
        <x:v>1</x:v>
      </x:c>
    </x:row>
    <x:row r="97">
      <x:c r="A97" t="n">
        <x:f>'01 Sensory Input'!A97</x:f>
        <x:v>5</x:v>
      </x:c>
      <x:c r="B97" t="n">
        <x:f>'01 Sensory Input'!B97</x:f>
        <x:v>12</x:v>
      </x:c>
      <x:c r="C97" s="12" t="n">
        <x:f>'01 Sensory Input'!C97</x:f>
        <x:v>0.3</x:v>
      </x:c>
      <x:c r="D97" s="12" t="n">
        <x:f>'01 Sensory Input'!D97</x:f>
        <x:v>0.38</x:v>
      </x:c>
      <x:c r="E97" s="12" t="n">
        <x:f>'01 Sensory Input'!E97</x:f>
        <x:v>0.3</x:v>
      </x:c>
      <x:c r="F97" s="12" t="n">
        <x:f>'01 Sensory Input'!F97</x:f>
        <x:v>0.24</x:v>
      </x:c>
      <x:c r="G97" s="12" t="n">
        <x:f>'01 Sensory Input'!G97</x:f>
        <x:v>0.26</x:v>
      </x:c>
      <x:c r="H97" t="n">
        <x:f>'02a n'!C97</x:f>
        <x:v>0</x:v>
      </x:c>
      <x:c r="I97" t="n">
        <x:f>'02a n'!D97</x:f>
        <x:v>0</x:v>
      </x:c>
      <x:c r="J97" t="n">
        <x:f>'02a n'!E97</x:f>
        <x:v>0</x:v>
      </x:c>
      <x:c r="K97" t="n">
        <x:f>'02a n'!F97</x:f>
        <x:v>0</x:v>
      </x:c>
      <x:c r="L97" t="n">
        <x:f>'02a n'!G97</x:f>
        <x:v>0</x:v>
      </x:c>
      <x:c r="M97" t="n">
        <x:f>'02b n^-1'!C97</x:f>
        <x:v>0</x:v>
      </x:c>
      <x:c r="N97" t="n">
        <x:f>'02b n^-1'!D97</x:f>
        <x:v>0</x:v>
      </x:c>
      <x:c r="O97" t="n">
        <x:f>'02b n^-1'!E97</x:f>
        <x:v>0</x:v>
      </x:c>
      <x:c r="P97" t="n">
        <x:f>'02b n^-1'!F97</x:f>
        <x:v>0</x:v>
      </x:c>
      <x:c r="Q97" t="n">
        <x:f>'02b n^-1'!G97</x:f>
        <x:v>0</x:v>
      </x:c>
      <x:c r="R97" t="n">
        <x:f>'02b n^-1'!H97</x:f>
        <x:v>0</x:v>
      </x:c>
      <x:c r="S97" s="12" t="n">
        <x:f>'02c n^-2'!C97</x:f>
        <x:v>0</x:v>
      </x:c>
      <x:c r="T97" t="n">
        <x:f>'02c n^-2'!D97</x:f>
        <x:v>1</x:v>
      </x:c>
      <x:c r="U97" t="n">
        <x:f>'05 Gate Output'!H97</x:f>
        <x:v>0</x:v>
      </x:c>
      <x:c r="V97" t="n">
        <x:f>'05 Gate Output'!I97</x:f>
        <x:v>1</x:v>
      </x:c>
      <x:c r="W97" t="n">
        <x:f>'05 Gate Output'!J97</x:f>
        <x:v>1</x:v>
      </x:c>
      <x:c r="X97" t="n">
        <x:f>'05 Gate Output'!K97</x:f>
        <x:v>1</x:v>
      </x:c>
      <x:c r="Y97" t="n">
        <x:f>'05 Gate Output'!L97</x:f>
        <x:v>0</x:v>
      </x:c>
      <x:c r="Z97" t="n">
        <x:f>'05 Gate Output'!M97</x:f>
        <x:v>1</x:v>
      </x:c>
    </x:row>
    <x:row r="98">
      <x:c r="A98" t="n">
        <x:f>'01 Sensory Input'!A98</x:f>
        <x:v>5</x:v>
      </x:c>
      <x:c r="B98" t="n">
        <x:f>'01 Sensory Input'!B98</x:f>
        <x:v>13</x:v>
      </x:c>
      <x:c r="C98" s="12" t="n">
        <x:f>'01 Sensory Input'!C98</x:f>
        <x:v>0.33</x:v>
      </x:c>
      <x:c r="D98" s="12" t="n">
        <x:f>'01 Sensory Input'!D98</x:f>
        <x:v>0.41</x:v>
      </x:c>
      <x:c r="E98" s="12" t="n">
        <x:f>'01 Sensory Input'!E98</x:f>
        <x:v>0.34</x:v>
      </x:c>
      <x:c r="F98" s="12" t="n">
        <x:f>'01 Sensory Input'!F98</x:f>
        <x:v>0.27</x:v>
      </x:c>
      <x:c r="G98" s="12" t="n">
        <x:f>'01 Sensory Input'!G98</x:f>
        <x:v>0.3</x:v>
      </x:c>
      <x:c r="H98" t="n">
        <x:f>'02a n'!C98</x:f>
        <x:v>0</x:v>
      </x:c>
      <x:c r="I98" t="n">
        <x:f>'02a n'!D98</x:f>
        <x:v>0</x:v>
      </x:c>
      <x:c r="J98" t="n">
        <x:f>'02a n'!E98</x:f>
        <x:v>0</x:v>
      </x:c>
      <x:c r="K98" t="n">
        <x:f>'02a n'!F98</x:f>
        <x:v>0</x:v>
      </x:c>
      <x:c r="L98" t="n">
        <x:f>'02a n'!G98</x:f>
        <x:v>0</x:v>
      </x:c>
      <x:c r="M98" t="n">
        <x:f>'02b n^-1'!C98</x:f>
        <x:v>0</x:v>
      </x:c>
      <x:c r="N98" t="n">
        <x:f>'02b n^-1'!D98</x:f>
        <x:v>0</x:v>
      </x:c>
      <x:c r="O98" t="n">
        <x:f>'02b n^-1'!E98</x:f>
        <x:v>0</x:v>
      </x:c>
      <x:c r="P98" t="n">
        <x:f>'02b n^-1'!F98</x:f>
        <x:v>0</x:v>
      </x:c>
      <x:c r="Q98" t="n">
        <x:f>'02b n^-1'!G98</x:f>
        <x:v>0</x:v>
      </x:c>
      <x:c r="R98" t="n">
        <x:f>'02b n^-1'!H98</x:f>
        <x:v>0</x:v>
      </x:c>
      <x:c r="S98" s="12" t="n">
        <x:f>'02c n^-2'!C98</x:f>
        <x:v>0</x:v>
      </x:c>
      <x:c r="T98" t="n">
        <x:f>'02c n^-2'!D98</x:f>
        <x:v>0</x:v>
      </x:c>
      <x:c r="U98" t="n">
        <x:f>'05 Gate Output'!H98</x:f>
        <x:v>1</x:v>
      </x:c>
      <x:c r="V98" t="n">
        <x:f>'05 Gate Output'!I98</x:f>
        <x:v>0</x:v>
      </x:c>
      <x:c r="W98" t="n">
        <x:f>'05 Gate Output'!J98</x:f>
        <x:v>0</x:v>
      </x:c>
      <x:c r="X98" t="n">
        <x:f>'05 Gate Output'!K98</x:f>
        <x:v>0</x:v>
      </x:c>
      <x:c r="Y98" t="n">
        <x:f>'05 Gate Output'!L98</x:f>
        <x:v>0</x:v>
      </x:c>
      <x:c r="Z98" t="n">
        <x:f>'05 Gate Output'!M98</x:f>
        <x:v>0</x:v>
      </x:c>
    </x:row>
    <x:row r="99">
      <x:c r="A99" t="n">
        <x:f>'01 Sensory Input'!A99</x:f>
        <x:v>5</x:v>
      </x:c>
      <x:c r="B99" t="n">
        <x:f>'01 Sensory Input'!B99</x:f>
        <x:v>14</x:v>
      </x:c>
      <x:c r="C99" s="12" t="n">
        <x:f>'01 Sensory Input'!C99</x:f>
        <x:v>0.36</x:v>
      </x:c>
      <x:c r="D99" s="12" t="n">
        <x:f>'01 Sensory Input'!D99</x:f>
        <x:v>0.44</x:v>
      </x:c>
      <x:c r="E99" s="12" t="n">
        <x:f>'01 Sensory Input'!E99</x:f>
        <x:v>0.3</x:v>
      </x:c>
      <x:c r="F99" s="12" t="n">
        <x:f>'01 Sensory Input'!F99</x:f>
        <x:v>0.3</x:v>
      </x:c>
      <x:c r="G99" s="12" t="n">
        <x:f>'01 Sensory Input'!G99</x:f>
        <x:v>0.34</x:v>
      </x:c>
      <x:c r="H99" t="n">
        <x:f>'02a n'!C99</x:f>
        <x:v>0</x:v>
      </x:c>
      <x:c r="I99" t="n">
        <x:f>'02a n'!D99</x:f>
        <x:v>0</x:v>
      </x:c>
      <x:c r="J99" t="n">
        <x:f>'02a n'!E99</x:f>
        <x:v>0</x:v>
      </x:c>
      <x:c r="K99" t="n">
        <x:f>'02a n'!F99</x:f>
        <x:v>0</x:v>
      </x:c>
      <x:c r="L99" t="n">
        <x:f>'02a n'!G99</x:f>
        <x:v>0</x:v>
      </x:c>
      <x:c r="M99" t="n">
        <x:f>'02b n^-1'!C99</x:f>
        <x:v>0</x:v>
      </x:c>
      <x:c r="N99" t="n">
        <x:f>'02b n^-1'!D99</x:f>
        <x:v>0</x:v>
      </x:c>
      <x:c r="O99" t="n">
        <x:f>'02b n^-1'!E99</x:f>
        <x:v>0</x:v>
      </x:c>
      <x:c r="P99" t="n">
        <x:f>'02b n^-1'!F99</x:f>
        <x:v>0</x:v>
      </x:c>
      <x:c r="Q99" t="n">
        <x:f>'02b n^-1'!G99</x:f>
        <x:v>0</x:v>
      </x:c>
      <x:c r="R99" t="n">
        <x:f>'02b n^-1'!H99</x:f>
        <x:v>0</x:v>
      </x:c>
      <x:c r="S99" s="12" t="n">
        <x:f>'02c n^-2'!C99</x:f>
        <x:v>0</x:v>
      </x:c>
      <x:c r="T99" t="n">
        <x:f>'02c n^-2'!D99</x:f>
        <x:v>0</x:v>
      </x:c>
      <x:c r="U99" t="n">
        <x:f>'05 Gate Output'!H99</x:f>
        <x:v>1</x:v>
      </x:c>
      <x:c r="V99" t="n">
        <x:f>'05 Gate Output'!I99</x:f>
        <x:v>0</x:v>
      </x:c>
      <x:c r="W99" t="n">
        <x:f>'05 Gate Output'!J99</x:f>
        <x:v>0</x:v>
      </x:c>
      <x:c r="X99" t="n">
        <x:f>'05 Gate Output'!K99</x:f>
        <x:v>0</x:v>
      </x:c>
      <x:c r="Y99" t="n">
        <x:f>'05 Gate Output'!L99</x:f>
        <x:v>0</x:v>
      </x:c>
      <x:c r="Z99" t="n">
        <x:f>'05 Gate Output'!M99</x:f>
        <x:v>0</x:v>
      </x:c>
    </x:row>
    <x:row r="100">
      <x:c r="A100" t="n">
        <x:f>'01 Sensory Input'!A100</x:f>
        <x:v>5</x:v>
      </x:c>
      <x:c r="B100" t="n">
        <x:f>'01 Sensory Input'!B100</x:f>
        <x:v>15</x:v>
      </x:c>
      <x:c r="C100" s="12" t="n">
        <x:f>'01 Sensory Input'!C100</x:f>
        <x:v>0.39</x:v>
      </x:c>
      <x:c r="D100" s="12" t="n">
        <x:f>'01 Sensory Input'!D100</x:f>
        <x:v>0.32</x:v>
      </x:c>
      <x:c r="E100" s="12" t="n">
        <x:f>'01 Sensory Input'!E100</x:f>
        <x:v>0.34</x:v>
      </x:c>
      <x:c r="F100" s="12" t="n">
        <x:f>'01 Sensory Input'!F100</x:f>
        <x:v>0.33</x:v>
      </x:c>
      <x:c r="G100" s="12" t="n">
        <x:f>'01 Sensory Input'!G100</x:f>
        <x:v>0.26</x:v>
      </x:c>
      <x:c r="H100" t="n">
        <x:f>'02a n'!C100</x:f>
        <x:v>0</x:v>
      </x:c>
      <x:c r="I100" t="n">
        <x:f>'02a n'!D100</x:f>
        <x:v>0</x:v>
      </x:c>
      <x:c r="J100" t="n">
        <x:f>'02a n'!E100</x:f>
        <x:v>0</x:v>
      </x:c>
      <x:c r="K100" t="n">
        <x:f>'02a n'!F100</x:f>
        <x:v>0</x:v>
      </x:c>
      <x:c r="L100" t="n">
        <x:f>'02a n'!G100</x:f>
        <x:v>0</x:v>
      </x:c>
      <x:c r="M100" t="n">
        <x:f>'02b n^-1'!C100</x:f>
        <x:v>0</x:v>
      </x:c>
      <x:c r="N100" t="n">
        <x:f>'02b n^-1'!D100</x:f>
        <x:v>0</x:v>
      </x:c>
      <x:c r="O100" t="n">
        <x:f>'02b n^-1'!E100</x:f>
        <x:v>0</x:v>
      </x:c>
      <x:c r="P100" t="n">
        <x:f>'02b n^-1'!F100</x:f>
        <x:v>0</x:v>
      </x:c>
      <x:c r="Q100" t="n">
        <x:f>'02b n^-1'!G100</x:f>
        <x:v>0</x:v>
      </x:c>
      <x:c r="R100" t="n">
        <x:f>'02b n^-1'!H100</x:f>
        <x:v>0</x:v>
      </x:c>
      <x:c r="S100" s="12" t="n">
        <x:f>'02c n^-2'!C100</x:f>
        <x:v>0</x:v>
      </x:c>
      <x:c r="T100" t="n">
        <x:f>'02c n^-2'!D100</x:f>
        <x:v>0</x:v>
      </x:c>
      <x:c r="U100" t="n">
        <x:f>'05 Gate Output'!H100</x:f>
        <x:v>1</x:v>
      </x:c>
      <x:c r="V100" t="n">
        <x:f>'05 Gate Output'!I100</x:f>
        <x:v>0</x:v>
      </x:c>
      <x:c r="W100" t="n">
        <x:f>'05 Gate Output'!J100</x:f>
        <x:v>0</x:v>
      </x:c>
      <x:c r="X100" t="n">
        <x:f>'05 Gate Output'!K100</x:f>
        <x:v>0</x:v>
      </x:c>
      <x:c r="Y100" t="n">
        <x:f>'05 Gate Output'!L100</x:f>
        <x:v>0</x:v>
      </x:c>
      <x:c r="Z100" t="n">
        <x:f>'05 Gate Output'!M100</x:f>
        <x:v>0</x:v>
      </x:c>
    </x:row>
    <x:row r="101">
      <x:c r="A101" t="n">
        <x:f>'01 Sensory Input'!A101</x:f>
        <x:v>5</x:v>
      </x:c>
      <x:c r="B101" t="n">
        <x:f>'01 Sensory Input'!B101</x:f>
        <x:v>16</x:v>
      </x:c>
      <x:c r="C101" s="12" t="n">
        <x:f>'01 Sensory Input'!C101</x:f>
        <x:v>0.3</x:v>
      </x:c>
      <x:c r="D101" s="12" t="n">
        <x:f>'01 Sensory Input'!D101</x:f>
        <x:v>0.35</x:v>
      </x:c>
      <x:c r="E101" s="12" t="n">
        <x:f>'01 Sensory Input'!E101</x:f>
        <x:v>0.3</x:v>
      </x:c>
      <x:c r="F101" s="12" t="n">
        <x:f>'01 Sensory Input'!F101</x:f>
        <x:v>0.24</x:v>
      </x:c>
      <x:c r="G101" s="12" t="n">
        <x:f>'01 Sensory Input'!G101</x:f>
        <x:v>0.3</x:v>
      </x:c>
      <x:c r="H101" t="n">
        <x:f>'02a n'!C101</x:f>
        <x:v>0</x:v>
      </x:c>
      <x:c r="I101" t="n">
        <x:f>'02a n'!D101</x:f>
        <x:v>0</x:v>
      </x:c>
      <x:c r="J101" t="n">
        <x:f>'02a n'!E101</x:f>
        <x:v>0</x:v>
      </x:c>
      <x:c r="K101" t="n">
        <x:f>'02a n'!F101</x:f>
        <x:v>0</x:v>
      </x:c>
      <x:c r="L101" t="n">
        <x:f>'02a n'!G101</x:f>
        <x:v>0</x:v>
      </x:c>
      <x:c r="M101" t="n">
        <x:f>'02b n^-1'!C101</x:f>
        <x:v>0</x:v>
      </x:c>
      <x:c r="N101" t="n">
        <x:f>'02b n^-1'!D101</x:f>
        <x:v>0</x:v>
      </x:c>
      <x:c r="O101" t="n">
        <x:f>'02b n^-1'!E101</x:f>
        <x:v>0</x:v>
      </x:c>
      <x:c r="P101" t="n">
        <x:f>'02b n^-1'!F101</x:f>
        <x:v>0</x:v>
      </x:c>
      <x:c r="Q101" t="n">
        <x:f>'02b n^-1'!G101</x:f>
        <x:v>0</x:v>
      </x:c>
      <x:c r="R101" t="n">
        <x:f>'02b n^-1'!H101</x:f>
        <x:v>0</x:v>
      </x:c>
      <x:c r="S101" s="12" t="n">
        <x:f>'02c n^-2'!C101</x:f>
        <x:v>0</x:v>
      </x:c>
      <x:c r="T101" t="n">
        <x:f>'02c n^-2'!D101</x:f>
        <x:v>0</x:v>
      </x:c>
      <x:c r="U101" t="n">
        <x:f>'05 Gate Output'!H101</x:f>
        <x:v>1</x:v>
      </x:c>
      <x:c r="V101" t="n">
        <x:f>'05 Gate Output'!I101</x:f>
        <x:v>0</x:v>
      </x:c>
      <x:c r="W101" t="n">
        <x:f>'05 Gate Output'!J101</x:f>
        <x:v>0</x:v>
      </x:c>
      <x:c r="X101" t="n">
        <x:f>'05 Gate Output'!K101</x:f>
        <x:v>0</x:v>
      </x:c>
      <x:c r="Y101" t="n">
        <x:f>'05 Gate Output'!L101</x:f>
        <x:v>0</x:v>
      </x:c>
      <x:c r="Z101" t="n">
        <x:f>'05 Gate Output'!M101</x:f>
        <x:v>0</x:v>
      </x:c>
    </x:row>
    <x:row r="102">
      <x:c r="A102" t="n">
        <x:f>'01 Sensory Input'!A102</x:f>
        <x:v>5</x:v>
      </x:c>
      <x:c r="B102" t="n">
        <x:f>'01 Sensory Input'!B102</x:f>
        <x:v>17</x:v>
      </x:c>
      <x:c r="C102" s="12" t="n">
        <x:f>'01 Sensory Input'!C102</x:f>
        <x:v>0.33</x:v>
      </x:c>
      <x:c r="D102" s="12" t="n">
        <x:f>'01 Sensory Input'!D102</x:f>
        <x:v>0.38</x:v>
      </x:c>
      <x:c r="E102" s="12" t="n">
        <x:f>'01 Sensory Input'!E102</x:f>
        <x:v>0.34</x:v>
      </x:c>
      <x:c r="F102" s="12" t="n">
        <x:f>'01 Sensory Input'!F102</x:f>
        <x:v>0.27</x:v>
      </x:c>
      <x:c r="G102" s="12" t="n">
        <x:f>'01 Sensory Input'!G102</x:f>
        <x:v>0.34</x:v>
      </x:c>
      <x:c r="H102" t="n">
        <x:f>'02a n'!C102</x:f>
        <x:v>0</x:v>
      </x:c>
      <x:c r="I102" t="n">
        <x:f>'02a n'!D102</x:f>
        <x:v>0</x:v>
      </x:c>
      <x:c r="J102" t="n">
        <x:f>'02a n'!E102</x:f>
        <x:v>0</x:v>
      </x:c>
      <x:c r="K102" t="n">
        <x:f>'02a n'!F102</x:f>
        <x:v>0</x:v>
      </x:c>
      <x:c r="L102" t="n">
        <x:f>'02a n'!G102</x:f>
        <x:v>0</x:v>
      </x:c>
      <x:c r="M102" t="n">
        <x:f>'02b n^-1'!C102</x:f>
        <x:v>0</x:v>
      </x:c>
      <x:c r="N102" t="n">
        <x:f>'02b n^-1'!D102</x:f>
        <x:v>0</x:v>
      </x:c>
      <x:c r="O102" t="n">
        <x:f>'02b n^-1'!E102</x:f>
        <x:v>0</x:v>
      </x:c>
      <x:c r="P102" t="n">
        <x:f>'02b n^-1'!F102</x:f>
        <x:v>0</x:v>
      </x:c>
      <x:c r="Q102" t="n">
        <x:f>'02b n^-1'!G102</x:f>
        <x:v>0</x:v>
      </x:c>
      <x:c r="R102" t="n">
        <x:f>'02b n^-1'!H102</x:f>
        <x:v>0</x:v>
      </x:c>
      <x:c r="S102" s="12" t="n">
        <x:f>'02c n^-2'!C102</x:f>
        <x:v>0</x:v>
      </x:c>
      <x:c r="T102" t="n">
        <x:f>'02c n^-2'!D102</x:f>
        <x:v>0</x:v>
      </x:c>
      <x:c r="U102" t="n">
        <x:f>'05 Gate Output'!H102</x:f>
        <x:v>1</x:v>
      </x:c>
      <x:c r="V102" t="n">
        <x:f>'05 Gate Output'!I102</x:f>
        <x:v>0</x:v>
      </x:c>
      <x:c r="W102" t="n">
        <x:f>'05 Gate Output'!J102</x:f>
        <x:v>0</x:v>
      </x:c>
      <x:c r="X102" t="n">
        <x:f>'05 Gate Output'!K102</x:f>
        <x:v>0</x:v>
      </x:c>
      <x:c r="Y102" t="n">
        <x:f>'05 Gate Output'!L102</x:f>
        <x:v>0</x:v>
      </x:c>
      <x:c r="Z102" t="n">
        <x:f>'05 Gate Output'!M102</x:f>
        <x:v>0</x:v>
      </x:c>
    </x:row>
    <x:row r="103">
      <x:c r="A103" t="n">
        <x:f>'01 Sensory Input'!A103</x:f>
        <x:v>5</x:v>
      </x:c>
      <x:c r="B103" t="n">
        <x:f>'01 Sensory Input'!B103</x:f>
        <x:v>18</x:v>
      </x:c>
      <x:c r="C103" s="12" t="n">
        <x:f>'01 Sensory Input'!C103</x:f>
        <x:v>0.36</x:v>
      </x:c>
      <x:c r="D103" s="12" t="n">
        <x:f>'01 Sensory Input'!D103</x:f>
        <x:v>0.41</x:v>
      </x:c>
      <x:c r="E103" s="12" t="n">
        <x:f>'01 Sensory Input'!E103</x:f>
        <x:v>0.3</x:v>
      </x:c>
      <x:c r="F103" s="12" t="n">
        <x:f>'01 Sensory Input'!F103</x:f>
        <x:v>0.3</x:v>
      </x:c>
      <x:c r="G103" s="12" t="n">
        <x:f>'01 Sensory Input'!G103</x:f>
        <x:v>0.26</x:v>
      </x:c>
      <x:c r="H103" t="n">
        <x:f>'02a n'!C103</x:f>
        <x:v>0</x:v>
      </x:c>
      <x:c r="I103" t="n">
        <x:f>'02a n'!D103</x:f>
        <x:v>0</x:v>
      </x:c>
      <x:c r="J103" t="n">
        <x:f>'02a n'!E103</x:f>
        <x:v>0</x:v>
      </x:c>
      <x:c r="K103" t="n">
        <x:f>'02a n'!F103</x:f>
        <x:v>0</x:v>
      </x:c>
      <x:c r="L103" t="n">
        <x:f>'02a n'!G103</x:f>
        <x:v>0</x:v>
      </x:c>
      <x:c r="M103" t="n">
        <x:f>'02b n^-1'!C103</x:f>
        <x:v>0</x:v>
      </x:c>
      <x:c r="N103" t="n">
        <x:f>'02b n^-1'!D103</x:f>
        <x:v>0</x:v>
      </x:c>
      <x:c r="O103" t="n">
        <x:f>'02b n^-1'!E103</x:f>
        <x:v>0</x:v>
      </x:c>
      <x:c r="P103" t="n">
        <x:f>'02b n^-1'!F103</x:f>
        <x:v>0</x:v>
      </x:c>
      <x:c r="Q103" t="n">
        <x:f>'02b n^-1'!G103</x:f>
        <x:v>0</x:v>
      </x:c>
      <x:c r="R103" t="n">
        <x:f>'02b n^-1'!H103</x:f>
        <x:v>0</x:v>
      </x:c>
      <x:c r="S103" s="12" t="n">
        <x:f>'02c n^-2'!C103</x:f>
        <x:v>0</x:v>
      </x:c>
      <x:c r="T103" t="n">
        <x:f>'02c n^-2'!D103</x:f>
        <x:v>0</x:v>
      </x:c>
      <x:c r="U103" t="n">
        <x:f>'05 Gate Output'!H103</x:f>
        <x:v>1</x:v>
      </x:c>
      <x:c r="V103" t="n">
        <x:f>'05 Gate Output'!I103</x:f>
        <x:v>0</x:v>
      </x:c>
      <x:c r="W103" t="n">
        <x:f>'05 Gate Output'!J103</x:f>
        <x:v>0</x:v>
      </x:c>
      <x:c r="X103" t="n">
        <x:f>'05 Gate Output'!K103</x:f>
        <x:v>0</x:v>
      </x:c>
      <x:c r="Y103" t="n">
        <x:f>'05 Gate Output'!L103</x:f>
        <x:v>0</x:v>
      </x:c>
      <x:c r="Z103" t="n">
        <x:f>'05 Gate Output'!M103</x:f>
        <x:v>0</x:v>
      </x:c>
    </x:row>
    <x:row r="104">
      <x:c r="A104" t="n">
        <x:f>'01 Sensory Input'!A104</x:f>
        <x:v>5</x:v>
      </x:c>
      <x:c r="B104" t="n">
        <x:f>'01 Sensory Input'!B104</x:f>
        <x:v>19</x:v>
      </x:c>
      <x:c r="C104" s="12" t="n">
        <x:f>'01 Sensory Input'!C104</x:f>
        <x:v>0.39</x:v>
      </x:c>
      <x:c r="D104" s="12" t="n">
        <x:f>'01 Sensory Input'!D104</x:f>
        <x:v>0.44</x:v>
      </x:c>
      <x:c r="E104" s="12" t="n">
        <x:f>'01 Sensory Input'!E104</x:f>
        <x:v>0.34</x:v>
      </x:c>
      <x:c r="F104" s="12" t="n">
        <x:f>'01 Sensory Input'!F104</x:f>
        <x:v>0.33</x:v>
      </x:c>
      <x:c r="G104" s="12" t="n">
        <x:f>'01 Sensory Input'!G104</x:f>
        <x:v>0.3</x:v>
      </x:c>
      <x:c r="H104" t="n">
        <x:f>'02a n'!C104</x:f>
        <x:v>0</x:v>
      </x:c>
      <x:c r="I104" t="n">
        <x:f>'02a n'!D104</x:f>
        <x:v>0</x:v>
      </x:c>
      <x:c r="J104" t="n">
        <x:f>'02a n'!E104</x:f>
        <x:v>0</x:v>
      </x:c>
      <x:c r="K104" t="n">
        <x:f>'02a n'!F104</x:f>
        <x:v>0</x:v>
      </x:c>
      <x:c r="L104" t="n">
        <x:f>'02a n'!G104</x:f>
        <x:v>0</x:v>
      </x:c>
      <x:c r="M104" t="n">
        <x:f>'02b n^-1'!C104</x:f>
        <x:v>0</x:v>
      </x:c>
      <x:c r="N104" t="n">
        <x:f>'02b n^-1'!D104</x:f>
        <x:v>0</x:v>
      </x:c>
      <x:c r="O104" t="n">
        <x:f>'02b n^-1'!E104</x:f>
        <x:v>0</x:v>
      </x:c>
      <x:c r="P104" t="n">
        <x:f>'02b n^-1'!F104</x:f>
        <x:v>0</x:v>
      </x:c>
      <x:c r="Q104" t="n">
        <x:f>'02b n^-1'!G104</x:f>
        <x:v>0</x:v>
      </x:c>
      <x:c r="R104" t="n">
        <x:f>'02b n^-1'!H104</x:f>
        <x:v>0</x:v>
      </x:c>
      <x:c r="S104" s="12" t="n">
        <x:f>'02c n^-2'!C104</x:f>
        <x:v>0</x:v>
      </x:c>
      <x:c r="T104" t="n">
        <x:f>'02c n^-2'!D104</x:f>
        <x:v>0</x:v>
      </x:c>
      <x:c r="U104" t="n">
        <x:f>'05 Gate Output'!H104</x:f>
        <x:v>1</x:v>
      </x:c>
      <x:c r="V104" t="n">
        <x:f>'05 Gate Output'!I104</x:f>
        <x:v>0</x:v>
      </x:c>
      <x:c r="W104" t="n">
        <x:f>'05 Gate Output'!J104</x:f>
        <x:v>0</x:v>
      </x:c>
      <x:c r="X104" t="n">
        <x:f>'05 Gate Output'!K104</x:f>
        <x:v>0</x:v>
      </x:c>
      <x:c r="Y104" t="n">
        <x:f>'05 Gate Output'!L104</x:f>
        <x:v>0</x:v>
      </x:c>
      <x:c r="Z104" t="n">
        <x:f>'05 Gate Output'!M104</x:f>
        <x:v>0</x:v>
      </x:c>
    </x:row>
    <x:row r="105">
      <x:c r="A105" t="n">
        <x:f>'01 Sensory Input'!A105</x:f>
        <x:v>5</x:v>
      </x:c>
      <x:c r="B105" t="n">
        <x:f>'01 Sensory Input'!B105</x:f>
        <x:v>20</x:v>
      </x:c>
      <x:c r="C105" s="12" t="n">
        <x:f>'01 Sensory Input'!C105</x:f>
        <x:v>0.3</x:v>
      </x:c>
      <x:c r="D105" s="12" t="n">
        <x:f>'01 Sensory Input'!D105</x:f>
        <x:v>0.32</x:v>
      </x:c>
      <x:c r="E105" s="12" t="n">
        <x:f>'01 Sensory Input'!E105</x:f>
        <x:v>0.3</x:v>
      </x:c>
      <x:c r="F105" s="12" t="n">
        <x:f>'01 Sensory Input'!F105</x:f>
        <x:v>0.24</x:v>
      </x:c>
      <x:c r="G105" s="12" t="n">
        <x:f>'01 Sensory Input'!G105</x:f>
        <x:v>0.34</x:v>
      </x:c>
      <x:c r="H105" t="n">
        <x:f>'02a n'!C105</x:f>
        <x:v>0</x:v>
      </x:c>
      <x:c r="I105" t="n">
        <x:f>'02a n'!D105</x:f>
        <x:v>0</x:v>
      </x:c>
      <x:c r="J105" t="n">
        <x:f>'02a n'!E105</x:f>
        <x:v>0</x:v>
      </x:c>
      <x:c r="K105" t="n">
        <x:f>'02a n'!F105</x:f>
        <x:v>0</x:v>
      </x:c>
      <x:c r="L105" t="n">
        <x:f>'02a n'!G105</x:f>
        <x:v>0</x:v>
      </x:c>
      <x:c r="M105" t="n">
        <x:f>'02b n^-1'!C105</x:f>
        <x:v>0</x:v>
      </x:c>
      <x:c r="N105" t="n">
        <x:f>'02b n^-1'!D105</x:f>
        <x:v>0</x:v>
      </x:c>
      <x:c r="O105" t="n">
        <x:f>'02b n^-1'!E105</x:f>
        <x:v>0</x:v>
      </x:c>
      <x:c r="P105" t="n">
        <x:f>'02b n^-1'!F105</x:f>
        <x:v>0</x:v>
      </x:c>
      <x:c r="Q105" t="n">
        <x:f>'02b n^-1'!G105</x:f>
        <x:v>0</x:v>
      </x:c>
      <x:c r="R105" t="n">
        <x:f>'02b n^-1'!H105</x:f>
        <x:v>0</x:v>
      </x:c>
      <x:c r="S105" s="12" t="n">
        <x:f>'02c n^-2'!C105</x:f>
        <x:v>0</x:v>
      </x:c>
      <x:c r="T105" t="n">
        <x:f>'02c n^-2'!D105</x:f>
        <x:v>0</x:v>
      </x:c>
      <x:c r="U105" t="n">
        <x:f>'05 Gate Output'!H105</x:f>
        <x:v>1</x:v>
      </x:c>
      <x:c r="V105" t="n">
        <x:f>'05 Gate Output'!I105</x:f>
        <x:v>0</x:v>
      </x:c>
      <x:c r="W105" t="n">
        <x:f>'05 Gate Output'!J105</x:f>
        <x:v>0</x:v>
      </x:c>
      <x:c r="X105" t="n">
        <x:f>'05 Gate Output'!K105</x:f>
        <x:v>0</x:v>
      </x:c>
      <x:c r="Y105" t="n">
        <x:f>'05 Gate Output'!L105</x:f>
        <x:v>0</x:v>
      </x:c>
      <x:c r="Z105" t="n">
        <x:f>'05 Gate Output'!M105</x:f>
        <x:v>0</x:v>
      </x:c>
    </x:row>
    <x:row r="106">
      <x:c r="A106" t="n">
        <x:f>'01 Sensory Input'!A106</x:f>
        <x:v>6</x:v>
      </x:c>
      <x:c r="B106" t="n">
        <x:f>'01 Sensory Input'!B106</x:f>
        <x:v>1</x:v>
      </x:c>
      <x:c r="C106" s="12" t="n">
        <x:f>'01 Sensory Input'!C106</x:f>
        <x:v>0.43</x:v>
      </x:c>
      <x:c r="D106" s="12" t="n">
        <x:f>'01 Sensory Input'!D106</x:f>
        <x:v>0.37</x:v>
      </x:c>
      <x:c r="E106" s="12" t="n">
        <x:f>'01 Sensory Input'!E106</x:f>
        <x:v>0.35</x:v>
      </x:c>
      <x:c r="F106" s="12" t="n">
        <x:f>'01 Sensory Input'!F106</x:f>
        <x:v>0.26</x:v>
      </x:c>
      <x:c r="G106" s="12" t="n">
        <x:f>'01 Sensory Input'!G106</x:f>
        <x:v>0.35</x:v>
      </x:c>
      <x:c r="H106" t="n">
        <x:f>'02a n'!C106</x:f>
        <x:v>0</x:v>
      </x:c>
      <x:c r="I106" t="n">
        <x:f>'02a n'!D106</x:f>
        <x:v>0</x:v>
      </x:c>
      <x:c r="J106" t="n">
        <x:f>'02a n'!E106</x:f>
        <x:v>0</x:v>
      </x:c>
      <x:c r="K106" t="n">
        <x:f>'02a n'!F106</x:f>
        <x:v>0</x:v>
      </x:c>
      <x:c r="L106" t="n">
        <x:f>'02a n'!G106</x:f>
        <x:v>0</x:v>
      </x:c>
      <x:c r="M106" t="n">
        <x:f>'02b n^-1'!C106</x:f>
        <x:v>0</x:v>
      </x:c>
      <x:c r="N106" t="n">
        <x:f>'02b n^-1'!D106</x:f>
        <x:v>0</x:v>
      </x:c>
      <x:c r="O106" t="n">
        <x:f>'02b n^-1'!E106</x:f>
        <x:v>0</x:v>
      </x:c>
      <x:c r="P106" t="n">
        <x:f>'02b n^-1'!F106</x:f>
        <x:v>0</x:v>
      </x:c>
      <x:c r="Q106" t="n">
        <x:f>'02b n^-1'!G106</x:f>
        <x:v>0</x:v>
      </x:c>
      <x:c r="R106" t="n">
        <x:f>'02b n^-1'!H106</x:f>
        <x:v>0</x:v>
      </x:c>
      <x:c r="S106" s="12" t="n">
        <x:f>'02c n^-2'!C106</x:f>
        <x:v>0</x:v>
      </x:c>
      <x:c r="T106" t="n">
        <x:f>'02c n^-2'!D106</x:f>
        <x:v>0</x:v>
      </x:c>
      <x:c r="U106" t="n">
        <x:f>'05 Gate Output'!H106</x:f>
        <x:v>1</x:v>
      </x:c>
      <x:c r="V106" t="n">
        <x:f>'05 Gate Output'!I106</x:f>
        <x:v>0</x:v>
      </x:c>
      <x:c r="W106" t="n">
        <x:f>'05 Gate Output'!J106</x:f>
        <x:v>0</x:v>
      </x:c>
      <x:c r="X106" t="n">
        <x:f>'05 Gate Output'!K106</x:f>
        <x:v>0</x:v>
      </x:c>
      <x:c r="Y106" t="n">
        <x:f>'05 Gate Output'!L106</x:f>
        <x:v>0</x:v>
      </x:c>
      <x:c r="Z106" t="n">
        <x:f>'05 Gate Output'!M106</x:f>
        <x:v>0</x:v>
      </x:c>
    </x:row>
    <x:row r="107">
      <x:c r="A107" t="n">
        <x:f>'01 Sensory Input'!A107</x:f>
        <x:v>6</x:v>
      </x:c>
      <x:c r="B107" t="n">
        <x:f>'01 Sensory Input'!B107</x:f>
        <x:v>2</x:v>
      </x:c>
      <x:c r="C107" s="12" t="n">
        <x:f>'01 Sensory Input'!C107</x:f>
        <x:v>0.51</x:v>
      </x:c>
      <x:c r="D107" s="12" t="n">
        <x:f>'01 Sensory Input'!D107</x:f>
        <x:v>0.44</x:v>
      </x:c>
      <x:c r="E107" s="12" t="n">
        <x:f>'01 Sensory Input'!E107</x:f>
        <x:v>0.45</x:v>
      </x:c>
      <x:c r="F107" s="12" t="n">
        <x:f>'01 Sensory Input'!F107</x:f>
        <x:v>0.32</x:v>
      </x:c>
      <x:c r="G107" s="12" t="n">
        <x:f>'01 Sensory Input'!G107</x:f>
        <x:v>0.42</x:v>
      </x:c>
      <x:c r="H107" t="n">
        <x:f>'02a n'!C107</x:f>
        <x:v>0</x:v>
      </x:c>
      <x:c r="I107" t="n">
        <x:f>'02a n'!D107</x:f>
        <x:v>0</x:v>
      </x:c>
      <x:c r="J107" t="n">
        <x:f>'02a n'!E107</x:f>
        <x:v>0</x:v>
      </x:c>
      <x:c r="K107" t="n">
        <x:f>'02a n'!F107</x:f>
        <x:v>0</x:v>
      </x:c>
      <x:c r="L107" t="n">
        <x:f>'02a n'!G107</x:f>
        <x:v>0</x:v>
      </x:c>
      <x:c r="M107" t="n">
        <x:f>'02b n^-1'!C107</x:f>
        <x:v>0</x:v>
      </x:c>
      <x:c r="N107" t="n">
        <x:f>'02b n^-1'!D107</x:f>
        <x:v>0</x:v>
      </x:c>
      <x:c r="O107" t="n">
        <x:f>'02b n^-1'!E107</x:f>
        <x:v>0</x:v>
      </x:c>
      <x:c r="P107" t="n">
        <x:f>'02b n^-1'!F107</x:f>
        <x:v>0</x:v>
      </x:c>
      <x:c r="Q107" t="n">
        <x:f>'02b n^-1'!G107</x:f>
        <x:v>0</x:v>
      </x:c>
      <x:c r="R107" t="n">
        <x:f>'02b n^-1'!H107</x:f>
        <x:v>0</x:v>
      </x:c>
      <x:c r="S107" s="12" t="n">
        <x:f>'02c n^-2'!C107</x:f>
        <x:v>0</x:v>
      </x:c>
      <x:c r="T107" t="n">
        <x:f>'02c n^-2'!D107</x:f>
        <x:v>0</x:v>
      </x:c>
      <x:c r="U107" t="n">
        <x:f>'05 Gate Output'!H107</x:f>
        <x:v>1</x:v>
      </x:c>
      <x:c r="V107" t="n">
        <x:f>'05 Gate Output'!I107</x:f>
        <x:v>0</x:v>
      </x:c>
      <x:c r="W107" t="n">
        <x:f>'05 Gate Output'!J107</x:f>
        <x:v>0</x:v>
      </x:c>
      <x:c r="X107" t="n">
        <x:f>'05 Gate Output'!K107</x:f>
        <x:v>0</x:v>
      </x:c>
      <x:c r="Y107" t="n">
        <x:f>'05 Gate Output'!L107</x:f>
        <x:v>0</x:v>
      </x:c>
      <x:c r="Z107" t="n">
        <x:f>'05 Gate Output'!M107</x:f>
        <x:v>0</x:v>
      </x:c>
    </x:row>
    <x:row r="108">
      <x:c r="A108" t="n">
        <x:f>'01 Sensory Input'!A108</x:f>
        <x:v>6</x:v>
      </x:c>
      <x:c r="B108" t="n">
        <x:f>'01 Sensory Input'!B108</x:f>
        <x:v>3</x:v>
      </x:c>
      <x:c r="C108" s="12" t="n">
        <x:f>'01 Sensory Input'!C108</x:f>
        <x:v>0.59</x:v>
      </x:c>
      <x:c r="D108" s="12" t="n">
        <x:f>'01 Sensory Input'!D108</x:f>
        <x:v>0.51</x:v>
      </x:c>
      <x:c r="E108" s="12" t="n">
        <x:f>'01 Sensory Input'!E108</x:f>
        <x:v>0.25</x:v>
      </x:c>
      <x:c r="F108" s="12" t="n">
        <x:f>'01 Sensory Input'!F108</x:f>
        <x:v>0.38</x:v>
      </x:c>
      <x:c r="G108" s="12" t="n">
        <x:f>'01 Sensory Input'!G108</x:f>
        <x:v>0.49</x:v>
      </x:c>
      <x:c r="H108" t="n">
        <x:f>'02a n'!C108</x:f>
        <x:v>0</x:v>
      </x:c>
      <x:c r="I108" t="n">
        <x:f>'02a n'!D108</x:f>
        <x:v>0</x:v>
      </x:c>
      <x:c r="J108" t="n">
        <x:f>'02a n'!E108</x:f>
        <x:v>0</x:v>
      </x:c>
      <x:c r="K108" t="n">
        <x:f>'02a n'!F108</x:f>
        <x:v>0</x:v>
      </x:c>
      <x:c r="L108" t="n">
        <x:f>'02a n'!G108</x:f>
        <x:v>0</x:v>
      </x:c>
      <x:c r="M108" t="n">
        <x:f>'02b n^-1'!C108</x:f>
        <x:v>0</x:v>
      </x:c>
      <x:c r="N108" t="n">
        <x:f>'02b n^-1'!D108</x:f>
        <x:v>0</x:v>
      </x:c>
      <x:c r="O108" t="n">
        <x:f>'02b n^-1'!E108</x:f>
        <x:v>0</x:v>
      </x:c>
      <x:c r="P108" t="n">
        <x:f>'02b n^-1'!F108</x:f>
        <x:v>0</x:v>
      </x:c>
      <x:c r="Q108" t="n">
        <x:f>'02b n^-1'!G108</x:f>
        <x:v>0</x:v>
      </x:c>
      <x:c r="R108" t="n">
        <x:f>'02b n^-1'!H108</x:f>
        <x:v>0</x:v>
      </x:c>
      <x:c r="S108" s="12" t="n">
        <x:f>'02c n^-2'!C108</x:f>
        <x:v>0</x:v>
      </x:c>
      <x:c r="T108" t="n">
        <x:f>'02c n^-2'!D108</x:f>
        <x:v>0</x:v>
      </x:c>
      <x:c r="U108" t="n">
        <x:f>'05 Gate Output'!H108</x:f>
        <x:v>1</x:v>
      </x:c>
      <x:c r="V108" t="n">
        <x:f>'05 Gate Output'!I108</x:f>
        <x:v>0</x:v>
      </x:c>
      <x:c r="W108" t="n">
        <x:f>'05 Gate Output'!J108</x:f>
        <x:v>0</x:v>
      </x:c>
      <x:c r="X108" t="n">
        <x:f>'05 Gate Output'!K108</x:f>
        <x:v>0</x:v>
      </x:c>
      <x:c r="Y108" t="n">
        <x:f>'05 Gate Output'!L108</x:f>
        <x:v>0</x:v>
      </x:c>
      <x:c r="Z108" t="n">
        <x:f>'05 Gate Output'!M108</x:f>
        <x:v>0</x:v>
      </x:c>
    </x:row>
    <x:row r="109">
      <x:c r="A109" t="n">
        <x:f>'01 Sensory Input'!A109</x:f>
        <x:v>6</x:v>
      </x:c>
      <x:c r="B109" t="n">
        <x:f>'01 Sensory Input'!B109</x:f>
        <x:v>4</x:v>
      </x:c>
      <x:c r="C109" s="12" t="n">
        <x:f>'01 Sensory Input'!C109</x:f>
        <x:v>0.35</x:v>
      </x:c>
      <x:c r="D109" s="12" t="n">
        <x:f>'01 Sensory Input'!D109</x:f>
        <x:v>0.58</x:v>
      </x:c>
      <x:c r="E109" s="12" t="n">
        <x:f>'01 Sensory Input'!E109</x:f>
        <x:v>0.35</x:v>
      </x:c>
      <x:c r="F109" s="12" t="n">
        <x:f>'01 Sensory Input'!F109</x:f>
        <x:v>0.2</x:v>
      </x:c>
      <x:c r="G109" s="12" t="n">
        <x:f>'01 Sensory Input'!G109</x:f>
        <x:v>0.56</x:v>
      </x:c>
      <x:c r="H109" t="n">
        <x:f>'02a n'!C109</x:f>
        <x:v>0</x:v>
      </x:c>
      <x:c r="I109" t="n">
        <x:f>'02a n'!D109</x:f>
        <x:v>0</x:v>
      </x:c>
      <x:c r="J109" t="n">
        <x:f>'02a n'!E109</x:f>
        <x:v>0</x:v>
      </x:c>
      <x:c r="K109" t="n">
        <x:f>'02a n'!F109</x:f>
        <x:v>0</x:v>
      </x:c>
      <x:c r="L109" t="n">
        <x:f>'02a n'!G109</x:f>
        <x:v>0</x:v>
      </x:c>
      <x:c r="M109" t="n">
        <x:f>'02b n^-1'!C109</x:f>
        <x:v>0</x:v>
      </x:c>
      <x:c r="N109" t="n">
        <x:f>'02b n^-1'!D109</x:f>
        <x:v>0</x:v>
      </x:c>
      <x:c r="O109" t="n">
        <x:f>'02b n^-1'!E109</x:f>
        <x:v>0</x:v>
      </x:c>
      <x:c r="P109" t="n">
        <x:f>'02b n^-1'!F109</x:f>
        <x:v>0</x:v>
      </x:c>
      <x:c r="Q109" t="n">
        <x:f>'02b n^-1'!G109</x:f>
        <x:v>0</x:v>
      </x:c>
      <x:c r="R109" t="n">
        <x:f>'02b n^-1'!H109</x:f>
        <x:v>0</x:v>
      </x:c>
      <x:c r="S109" s="12" t="n">
        <x:f>'02c n^-2'!C109</x:f>
        <x:v>0</x:v>
      </x:c>
      <x:c r="T109" t="n">
        <x:f>'02c n^-2'!D109</x:f>
        <x:v>0</x:v>
      </x:c>
      <x:c r="U109" t="n">
        <x:f>'05 Gate Output'!H109</x:f>
        <x:v>1</x:v>
      </x:c>
      <x:c r="V109" t="n">
        <x:f>'05 Gate Output'!I109</x:f>
        <x:v>0</x:v>
      </x:c>
      <x:c r="W109" t="n">
        <x:f>'05 Gate Output'!J109</x:f>
        <x:v>0</x:v>
      </x:c>
      <x:c r="X109" t="n">
        <x:f>'05 Gate Output'!K109</x:f>
        <x:v>0</x:v>
      </x:c>
      <x:c r="Y109" t="n">
        <x:f>'05 Gate Output'!L109</x:f>
        <x:v>0</x:v>
      </x:c>
      <x:c r="Z109" t="n">
        <x:f>'05 Gate Output'!M109</x:f>
        <x:v>0</x:v>
      </x:c>
    </x:row>
    <x:row r="110">
      <x:c r="A110" t="n">
        <x:f>'01 Sensory Input'!A110</x:f>
        <x:v>6</x:v>
      </x:c>
      <x:c r="B110" t="n">
        <x:f>'01 Sensory Input'!B110</x:f>
        <x:v>5</x:v>
      </x:c>
      <x:c r="C110" s="12" t="n">
        <x:f>'01 Sensory Input'!C110</x:f>
        <x:v>0.43</x:v>
      </x:c>
      <x:c r="D110" s="12" t="n">
        <x:f>'01 Sensory Input'!D110</x:f>
        <x:v>1</x:v>
      </x:c>
      <x:c r="E110" s="12" t="n">
        <x:f>'01 Sensory Input'!E110</x:f>
        <x:v>0.45</x:v>
      </x:c>
      <x:c r="F110" s="12" t="n">
        <x:f>'01 Sensory Input'!F110</x:f>
        <x:v>0.26</x:v>
      </x:c>
      <x:c r="G110" s="12" t="n">
        <x:f>'01 Sensory Input'!G110</x:f>
        <x:v>0.28</x:v>
      </x:c>
      <x:c r="H110" t="n">
        <x:f>'02a n'!C110</x:f>
        <x:v>0</x:v>
      </x:c>
      <x:c r="I110" t="n">
        <x:f>'02a n'!D110</x:f>
        <x:v>1</x:v>
      </x:c>
      <x:c r="J110" t="n">
        <x:f>'02a n'!E110</x:f>
        <x:v>0</x:v>
      </x:c>
      <x:c r="K110" t="n">
        <x:f>'02a n'!F110</x:f>
        <x:v>0</x:v>
      </x:c>
      <x:c r="L110" t="n">
        <x:f>'02a n'!G110</x:f>
        <x:v>0</x:v>
      </x:c>
      <x:c r="M110" t="n">
        <x:f>'02b n^-1'!C110</x:f>
        <x:v>0</x:v>
      </x:c>
      <x:c r="N110" t="n">
        <x:f>'02b n^-1'!D110</x:f>
        <x:v>0</x:v>
      </x:c>
      <x:c r="O110" t="n">
        <x:f>'02b n^-1'!E110</x:f>
        <x:v>0</x:v>
      </x:c>
      <x:c r="P110" t="n">
        <x:f>'02b n^-1'!F110</x:f>
        <x:v>0</x:v>
      </x:c>
      <x:c r="Q110" t="n">
        <x:f>'02b n^-1'!G110</x:f>
        <x:v>0</x:v>
      </x:c>
      <x:c r="R110" t="n">
        <x:f>'02b n^-1'!H110</x:f>
        <x:v>0</x:v>
      </x:c>
      <x:c r="S110" s="12" t="n">
        <x:f>'02c n^-2'!C110</x:f>
        <x:v>0</x:v>
      </x:c>
      <x:c r="T110" t="n">
        <x:f>'02c n^-2'!D110</x:f>
        <x:v>0</x:v>
      </x:c>
      <x:c r="U110" t="n">
        <x:f>'05 Gate Output'!H110</x:f>
        <x:v>1</x:v>
      </x:c>
      <x:c r="V110" t="n">
        <x:f>'05 Gate Output'!I110</x:f>
        <x:v>0</x:v>
      </x:c>
      <x:c r="W110" t="n">
        <x:f>'05 Gate Output'!J110</x:f>
        <x:v>0</x:v>
      </x:c>
      <x:c r="X110" t="n">
        <x:f>'05 Gate Output'!K110</x:f>
        <x:v>0</x:v>
      </x:c>
      <x:c r="Y110" t="n">
        <x:f>'05 Gate Output'!L110</x:f>
        <x:v>0</x:v>
      </x:c>
      <x:c r="Z110" t="n">
        <x:f>'05 Gate Output'!M110</x:f>
        <x:v>0</x:v>
      </x:c>
    </x:row>
    <x:row r="111">
      <x:c r="A111" t="n">
        <x:f>'01 Sensory Input'!A111</x:f>
        <x:v>6</x:v>
      </x:c>
      <x:c r="B111" t="n">
        <x:f>'01 Sensory Input'!B111</x:f>
        <x:v>6</x:v>
      </x:c>
      <x:c r="C111" s="12" t="n">
        <x:f>'01 Sensory Input'!C111</x:f>
        <x:v>0.51</x:v>
      </x:c>
      <x:c r="D111" s="12" t="n">
        <x:f>'01 Sensory Input'!D111</x:f>
        <x:v>0.35</x:v>
      </x:c>
      <x:c r="E111" s="12" t="n">
        <x:f>'01 Sensory Input'!E111</x:f>
        <x:v>0.25</x:v>
      </x:c>
      <x:c r="F111" s="12" t="n">
        <x:f>'01 Sensory Input'!F111</x:f>
        <x:v>0.32</x:v>
      </x:c>
      <x:c r="G111" s="12" t="n">
        <x:f>'01 Sensory Input'!G111</x:f>
        <x:v>0.35</x:v>
      </x:c>
      <x:c r="H111" t="n">
        <x:f>'02a n'!C111</x:f>
        <x:v>0</x:v>
      </x:c>
      <x:c r="I111" t="n">
        <x:f>'02a n'!D111</x:f>
        <x:v>0</x:v>
      </x:c>
      <x:c r="J111" t="n">
        <x:f>'02a n'!E111</x:f>
        <x:v>0</x:v>
      </x:c>
      <x:c r="K111" t="n">
        <x:f>'02a n'!F111</x:f>
        <x:v>0</x:v>
      </x:c>
      <x:c r="L111" t="n">
        <x:f>'02a n'!G111</x:f>
        <x:v>0</x:v>
      </x:c>
      <x:c r="M111" t="n">
        <x:f>'02b n^-1'!C111</x:f>
        <x:v>0</x:v>
      </x:c>
      <x:c r="N111" t="n">
        <x:f>'02b n^-1'!D111</x:f>
        <x:v>1</x:v>
      </x:c>
      <x:c r="O111" t="n">
        <x:f>'02b n^-1'!E111</x:f>
        <x:v>0</x:v>
      </x:c>
      <x:c r="P111" t="n">
        <x:f>'02b n^-1'!F111</x:f>
        <x:v>0</x:v>
      </x:c>
      <x:c r="Q111" t="n">
        <x:f>'02b n^-1'!G111</x:f>
        <x:v>0</x:v>
      </x:c>
      <x:c r="R111" t="n">
        <x:f>'02b n^-1'!H111</x:f>
        <x:v>0</x:v>
      </x:c>
      <x:c r="S111" s="12" t="n">
        <x:f>'02c n^-2'!C111</x:f>
        <x:v>0.16666666666666666</x:v>
      </x:c>
      <x:c r="T111" t="n">
        <x:f>'02c n^-2'!D111</x:f>
        <x:v>1</x:v>
      </x:c>
      <x:c r="U111" t="n">
        <x:f>'05 Gate Output'!H111</x:f>
        <x:v>0</x:v>
      </x:c>
      <x:c r="V111" t="n">
        <x:f>'05 Gate Output'!I111</x:f>
        <x:v>1</x:v>
      </x:c>
      <x:c r="W111" t="n">
        <x:f>'05 Gate Output'!J111</x:f>
        <x:v>1</x:v>
      </x:c>
      <x:c r="X111" t="n">
        <x:f>'05 Gate Output'!K111</x:f>
        <x:v>1</x:v>
      </x:c>
      <x:c r="Y111" t="n">
        <x:f>'05 Gate Output'!L111</x:f>
        <x:v>0</x:v>
      </x:c>
      <x:c r="Z111" t="n">
        <x:f>'05 Gate Output'!M111</x:f>
        <x:v>1</x:v>
      </x:c>
    </x:row>
    <x:row r="112">
      <x:c r="A112" t="n">
        <x:f>'01 Sensory Input'!A112</x:f>
        <x:v>6</x:v>
      </x:c>
      <x:c r="B112" t="n">
        <x:f>'01 Sensory Input'!B112</x:f>
        <x:v>7</x:v>
      </x:c>
      <x:c r="C112" s="12" t="n">
        <x:f>'01 Sensory Input'!C112</x:f>
        <x:v>0.59</x:v>
      </x:c>
      <x:c r="D112" s="12" t="n">
        <x:f>'01 Sensory Input'!D112</x:f>
        <x:v>0.44</x:v>
      </x:c>
      <x:c r="E112" s="12" t="n">
        <x:f>'01 Sensory Input'!E112</x:f>
        <x:v>0.35</x:v>
      </x:c>
      <x:c r="F112" s="12" t="n">
        <x:f>'01 Sensory Input'!F112</x:f>
        <x:v>0.38</x:v>
      </x:c>
      <x:c r="G112" s="12" t="n">
        <x:f>'01 Sensory Input'!G112</x:f>
        <x:v>0.42</x:v>
      </x:c>
      <x:c r="H112" t="n">
        <x:f>'02a n'!C112</x:f>
        <x:v>0</x:v>
      </x:c>
      <x:c r="I112" t="n">
        <x:f>'02a n'!D112</x:f>
        <x:v>0</x:v>
      </x:c>
      <x:c r="J112" t="n">
        <x:f>'02a n'!E112</x:f>
        <x:v>0</x:v>
      </x:c>
      <x:c r="K112" t="n">
        <x:f>'02a n'!F112</x:f>
        <x:v>0</x:v>
      </x:c>
      <x:c r="L112" t="n">
        <x:f>'02a n'!G112</x:f>
        <x:v>0</x:v>
      </x:c>
      <x:c r="M112" t="n">
        <x:f>'02b n^-1'!C112</x:f>
        <x:v>0</x:v>
      </x:c>
      <x:c r="N112" t="n">
        <x:f>'02b n^-1'!D112</x:f>
        <x:v>0</x:v>
      </x:c>
      <x:c r="O112" t="n">
        <x:f>'02b n^-1'!E112</x:f>
        <x:v>0</x:v>
      </x:c>
      <x:c r="P112" t="n">
        <x:f>'02b n^-1'!F112</x:f>
        <x:v>0</x:v>
      </x:c>
      <x:c r="Q112" t="n">
        <x:f>'02b n^-1'!G112</x:f>
        <x:v>0</x:v>
      </x:c>
      <x:c r="R112" t="n">
        <x:f>'02b n^-1'!H112</x:f>
        <x:v>0</x:v>
      </x:c>
      <x:c r="S112" s="12" t="n">
        <x:f>'02c n^-2'!C112</x:f>
        <x:v>0</x:v>
      </x:c>
      <x:c r="T112" t="n">
        <x:f>'02c n^-2'!D112</x:f>
        <x:v>1</x:v>
      </x:c>
      <x:c r="U112" t="n">
        <x:f>'05 Gate Output'!H112</x:f>
        <x:v>0</x:v>
      </x:c>
      <x:c r="V112" t="n">
        <x:f>'05 Gate Output'!I112</x:f>
        <x:v>1</x:v>
      </x:c>
      <x:c r="W112" t="n">
        <x:f>'05 Gate Output'!J112</x:f>
        <x:v>1</x:v>
      </x:c>
      <x:c r="X112" t="n">
        <x:f>'05 Gate Output'!K112</x:f>
        <x:v>1</x:v>
      </x:c>
      <x:c r="Y112" t="n">
        <x:f>'05 Gate Output'!L112</x:f>
        <x:v>0</x:v>
      </x:c>
      <x:c r="Z112" t="n">
        <x:f>'05 Gate Output'!M112</x:f>
        <x:v>1</x:v>
      </x:c>
    </x:row>
    <x:row r="113">
      <x:c r="A113" t="n">
        <x:f>'01 Sensory Input'!A113</x:f>
        <x:v>6</x:v>
      </x:c>
      <x:c r="B113" t="n">
        <x:f>'01 Sensory Input'!B113</x:f>
        <x:v>8</x:v>
      </x:c>
      <x:c r="C113" s="12" t="n">
        <x:f>'01 Sensory Input'!C113</x:f>
        <x:v>0.35</x:v>
      </x:c>
      <x:c r="D113" s="12" t="n">
        <x:f>'01 Sensory Input'!D113</x:f>
        <x:v>0.51</x:v>
      </x:c>
      <x:c r="E113" s="12" t="n">
        <x:f>'01 Sensory Input'!E113</x:f>
        <x:v>0.45</x:v>
      </x:c>
      <x:c r="F113" s="12" t="n">
        <x:f>'01 Sensory Input'!F113</x:f>
        <x:v>0.2</x:v>
      </x:c>
      <x:c r="G113" s="12" t="n">
        <x:f>'01 Sensory Input'!G113</x:f>
        <x:v>0.49</x:v>
      </x:c>
      <x:c r="H113" t="n">
        <x:f>'02a n'!C113</x:f>
        <x:v>0</x:v>
      </x:c>
      <x:c r="I113" t="n">
        <x:f>'02a n'!D113</x:f>
        <x:v>0</x:v>
      </x:c>
      <x:c r="J113" t="n">
        <x:f>'02a n'!E113</x:f>
        <x:v>0</x:v>
      </x:c>
      <x:c r="K113" t="n">
        <x:f>'02a n'!F113</x:f>
        <x:v>0</x:v>
      </x:c>
      <x:c r="L113" t="n">
        <x:f>'02a n'!G113</x:f>
        <x:v>0</x:v>
      </x:c>
      <x:c r="M113" t="n">
        <x:f>'02b n^-1'!C113</x:f>
        <x:v>0</x:v>
      </x:c>
      <x:c r="N113" t="n">
        <x:f>'02b n^-1'!D113</x:f>
        <x:v>0</x:v>
      </x:c>
      <x:c r="O113" t="n">
        <x:f>'02b n^-1'!E113</x:f>
        <x:v>0</x:v>
      </x:c>
      <x:c r="P113" t="n">
        <x:f>'02b n^-1'!F113</x:f>
        <x:v>0</x:v>
      </x:c>
      <x:c r="Q113" t="n">
        <x:f>'02b n^-1'!G113</x:f>
        <x:v>0</x:v>
      </x:c>
      <x:c r="R113" t="n">
        <x:f>'02b n^-1'!H113</x:f>
        <x:v>0</x:v>
      </x:c>
      <x:c r="S113" s="12" t="n">
        <x:f>'02c n^-2'!C113</x:f>
        <x:v>0</x:v>
      </x:c>
      <x:c r="T113" t="n">
        <x:f>'02c n^-2'!D113</x:f>
        <x:v>0</x:v>
      </x:c>
      <x:c r="U113" t="n">
        <x:f>'05 Gate Output'!H113</x:f>
        <x:v>1</x:v>
      </x:c>
      <x:c r="V113" t="n">
        <x:f>'05 Gate Output'!I113</x:f>
        <x:v>0</x:v>
      </x:c>
      <x:c r="W113" t="n">
        <x:f>'05 Gate Output'!J113</x:f>
        <x:v>0</x:v>
      </x:c>
      <x:c r="X113" t="n">
        <x:f>'05 Gate Output'!K113</x:f>
        <x:v>0</x:v>
      </x:c>
      <x:c r="Y113" t="n">
        <x:f>'05 Gate Output'!L113</x:f>
        <x:v>0</x:v>
      </x:c>
      <x:c r="Z113" t="n">
        <x:f>'05 Gate Output'!M113</x:f>
        <x:v>0</x:v>
      </x:c>
    </x:row>
    <x:row r="114">
      <x:c r="A114" t="n">
        <x:f>'01 Sensory Input'!A114</x:f>
        <x:v>6</x:v>
      </x:c>
      <x:c r="B114" t="n">
        <x:f>'01 Sensory Input'!B114</x:f>
        <x:v>9</x:v>
      </x:c>
      <x:c r="C114" s="12" t="n">
        <x:f>'01 Sensory Input'!C114</x:f>
        <x:v>0.43</x:v>
      </x:c>
      <x:c r="D114" s="12" t="n">
        <x:f>'01 Sensory Input'!D114</x:f>
        <x:v>0.58</x:v>
      </x:c>
      <x:c r="E114" s="12" t="n">
        <x:f>'01 Sensory Input'!E114</x:f>
        <x:v>0.25</x:v>
      </x:c>
      <x:c r="F114" s="12" t="n">
        <x:f>'01 Sensory Input'!F114</x:f>
        <x:v>0.85</x:v>
      </x:c>
      <x:c r="G114" s="12" t="n">
        <x:f>'01 Sensory Input'!G114</x:f>
        <x:v>0.82</x:v>
      </x:c>
      <x:c r="H114" t="n">
        <x:f>'02a n'!C114</x:f>
        <x:v>0</x:v>
      </x:c>
      <x:c r="I114" t="n">
        <x:f>'02a n'!D114</x:f>
        <x:v>0</x:v>
      </x:c>
      <x:c r="J114" t="n">
        <x:f>'02a n'!E114</x:f>
        <x:v>0</x:v>
      </x:c>
      <x:c r="K114" t="n">
        <x:f>'02a n'!F114</x:f>
        <x:v>0</x:v>
      </x:c>
      <x:c r="L114" t="n">
        <x:f>'02a n'!G114</x:f>
        <x:v>0</x:v>
      </x:c>
      <x:c r="M114" t="n">
        <x:f>'02b n^-1'!C114</x:f>
        <x:v>0</x:v>
      </x:c>
      <x:c r="N114" t="n">
        <x:f>'02b n^-1'!D114</x:f>
        <x:v>0</x:v>
      </x:c>
      <x:c r="O114" t="n">
        <x:f>'02b n^-1'!E114</x:f>
        <x:v>0</x:v>
      </x:c>
      <x:c r="P114" t="n">
        <x:f>'02b n^-1'!F114</x:f>
        <x:v>1</x:v>
      </x:c>
      <x:c r="Q114" t="n">
        <x:f>'02b n^-1'!G114</x:f>
        <x:v>0</x:v>
      </x:c>
      <x:c r="R114" t="n">
        <x:f>'02b n^-1'!H114</x:f>
        <x:v>0</x:v>
      </x:c>
      <x:c r="S114" s="12" t="n">
        <x:f>'02c n^-2'!C114</x:f>
        <x:v>0.16666666666666666</x:v>
      </x:c>
      <x:c r="T114" t="n">
        <x:f>'02c n^-2'!D114</x:f>
        <x:v>1</x:v>
      </x:c>
      <x:c r="U114" t="n">
        <x:f>'05 Gate Output'!H114</x:f>
        <x:v>0</x:v>
      </x:c>
      <x:c r="V114" t="n">
        <x:f>'05 Gate Output'!I114</x:f>
        <x:v>1</x:v>
      </x:c>
      <x:c r="W114" t="n">
        <x:f>'05 Gate Output'!J114</x:f>
        <x:v>1</x:v>
      </x:c>
      <x:c r="X114" t="n">
        <x:f>'05 Gate Output'!K114</x:f>
        <x:v>1</x:v>
      </x:c>
      <x:c r="Y114" t="n">
        <x:f>'05 Gate Output'!L114</x:f>
        <x:v>0</x:v>
      </x:c>
      <x:c r="Z114" t="n">
        <x:f>'05 Gate Output'!M114</x:f>
        <x:v>1</x:v>
      </x:c>
    </x:row>
    <x:row r="115">
      <x:c r="A115" t="n">
        <x:f>'01 Sensory Input'!A115</x:f>
        <x:v>6</x:v>
      </x:c>
      <x:c r="B115" t="n">
        <x:f>'01 Sensory Input'!B115</x:f>
        <x:v>10</x:v>
      </x:c>
      <x:c r="C115" s="12" t="n">
        <x:f>'01 Sensory Input'!C115</x:f>
        <x:v>0.51</x:v>
      </x:c>
      <x:c r="D115" s="12" t="n">
        <x:f>'01 Sensory Input'!D115</x:f>
        <x:v>0.3</x:v>
      </x:c>
      <x:c r="E115" s="12" t="n">
        <x:f>'01 Sensory Input'!E115</x:f>
        <x:v>0.35</x:v>
      </x:c>
      <x:c r="F115" s="12" t="n">
        <x:f>'01 Sensory Input'!F115</x:f>
        <x:v>0.25</x:v>
      </x:c>
      <x:c r="G115" s="12" t="n">
        <x:f>'01 Sensory Input'!G115</x:f>
        <x:v>0.3</x:v>
      </x:c>
      <x:c r="H115" t="n">
        <x:f>'02a n'!C115</x:f>
        <x:v>0</x:v>
      </x:c>
      <x:c r="I115" t="n">
        <x:f>'02a n'!D115</x:f>
        <x:v>0</x:v>
      </x:c>
      <x:c r="J115" t="n">
        <x:f>'02a n'!E115</x:f>
        <x:v>0</x:v>
      </x:c>
      <x:c r="K115" t="n">
        <x:f>'02a n'!F115</x:f>
        <x:v>0</x:v>
      </x:c>
      <x:c r="L115" t="n">
        <x:f>'02a n'!G115</x:f>
        <x:v>0</x:v>
      </x:c>
      <x:c r="M115" t="n">
        <x:f>'02b n^-1'!C115</x:f>
        <x:v>0</x:v>
      </x:c>
      <x:c r="N115" t="n">
        <x:f>'02b n^-1'!D115</x:f>
        <x:v>0</x:v>
      </x:c>
      <x:c r="O115" t="n">
        <x:f>'02b n^-1'!E115</x:f>
        <x:v>0</x:v>
      </x:c>
      <x:c r="P115" t="n">
        <x:f>'02b n^-1'!F115</x:f>
        <x:v>1</x:v>
      </x:c>
      <x:c r="Q115" t="n">
        <x:f>'02b n^-1'!G115</x:f>
        <x:v>1</x:v>
      </x:c>
      <x:c r="R115" t="n">
        <x:f>'02b n^-1'!H115</x:f>
        <x:v>1</x:v>
      </x:c>
      <x:c r="S115" s="12" t="n">
        <x:f>'02c n^-2'!C115</x:f>
        <x:v>0.5</x:v>
      </x:c>
      <x:c r="T115" t="n">
        <x:f>'02c n^-2'!D115</x:f>
        <x:v>1</x:v>
      </x:c>
      <x:c r="U115" t="n">
        <x:f>'05 Gate Output'!H115</x:f>
        <x:v>0</x:v>
      </x:c>
      <x:c r="V115" t="n">
        <x:f>'05 Gate Output'!I115</x:f>
        <x:v>1</x:v>
      </x:c>
      <x:c r="W115" t="n">
        <x:f>'05 Gate Output'!J115</x:f>
        <x:v>1</x:v>
      </x:c>
      <x:c r="X115" t="n">
        <x:f>'05 Gate Output'!K115</x:f>
        <x:v>1</x:v>
      </x:c>
      <x:c r="Y115" t="n">
        <x:f>'05 Gate Output'!L115</x:f>
        <x:v>0</x:v>
      </x:c>
      <x:c r="Z115" t="n">
        <x:f>'05 Gate Output'!M115</x:f>
        <x:v>1</x:v>
      </x:c>
    </x:row>
    <x:row r="116">
      <x:c r="A116" t="n">
        <x:f>'01 Sensory Input'!A116</x:f>
        <x:v>6</x:v>
      </x:c>
      <x:c r="B116" t="n">
        <x:f>'01 Sensory Input'!B116</x:f>
        <x:v>11</x:v>
      </x:c>
      <x:c r="C116" s="12" t="n">
        <x:f>'01 Sensory Input'!C116</x:f>
        <x:v>0.59</x:v>
      </x:c>
      <x:c r="D116" s="12" t="n">
        <x:f>'01 Sensory Input'!D116</x:f>
        <x:v>0.37</x:v>
      </x:c>
      <x:c r="E116" s="12" t="n">
        <x:f>'01 Sensory Input'!E116</x:f>
        <x:v>0.45</x:v>
      </x:c>
      <x:c r="F116" s="12" t="n">
        <x:f>'01 Sensory Input'!F116</x:f>
        <x:v>0.38</x:v>
      </x:c>
      <x:c r="G116" s="12" t="n">
        <x:f>'01 Sensory Input'!G116</x:f>
        <x:v>0.35</x:v>
      </x:c>
      <x:c r="H116" t="n">
        <x:f>'02a n'!C116</x:f>
        <x:v>0</x:v>
      </x:c>
      <x:c r="I116" t="n">
        <x:f>'02a n'!D116</x:f>
        <x:v>0</x:v>
      </x:c>
      <x:c r="J116" t="n">
        <x:f>'02a n'!E116</x:f>
        <x:v>0</x:v>
      </x:c>
      <x:c r="K116" t="n">
        <x:f>'02a n'!F116</x:f>
        <x:v>0</x:v>
      </x:c>
      <x:c r="L116" t="n">
        <x:f>'02a n'!G116</x:f>
        <x:v>0</x:v>
      </x:c>
      <x:c r="M116" t="n">
        <x:f>'02b n^-1'!C116</x:f>
        <x:v>0</x:v>
      </x:c>
      <x:c r="N116" t="n">
        <x:f>'02b n^-1'!D116</x:f>
        <x:v>0</x:v>
      </x:c>
      <x:c r="O116" t="n">
        <x:f>'02b n^-1'!E116</x:f>
        <x:v>0</x:v>
      </x:c>
      <x:c r="P116" t="n">
        <x:f>'02b n^-1'!F116</x:f>
        <x:v>0</x:v>
      </x:c>
      <x:c r="Q116" t="n">
        <x:f>'02b n^-1'!G116</x:f>
        <x:v>0</x:v>
      </x:c>
      <x:c r="R116" t="n">
        <x:f>'02b n^-1'!H116</x:f>
        <x:v>0</x:v>
      </x:c>
      <x:c r="S116" s="12" t="n">
        <x:f>'02c n^-2'!C116</x:f>
        <x:v>0</x:v>
      </x:c>
      <x:c r="T116" t="n">
        <x:f>'02c n^-2'!D116</x:f>
        <x:v>1</x:v>
      </x:c>
      <x:c r="U116" t="n">
        <x:f>'05 Gate Output'!H116</x:f>
        <x:v>0</x:v>
      </x:c>
      <x:c r="V116" t="n">
        <x:f>'05 Gate Output'!I116</x:f>
        <x:v>1</x:v>
      </x:c>
      <x:c r="W116" t="n">
        <x:f>'05 Gate Output'!J116</x:f>
        <x:v>1</x:v>
      </x:c>
      <x:c r="X116" t="n">
        <x:f>'05 Gate Output'!K116</x:f>
        <x:v>1</x:v>
      </x:c>
      <x:c r="Y116" t="n">
        <x:f>'05 Gate Output'!L116</x:f>
        <x:v>0</x:v>
      </x:c>
      <x:c r="Z116" t="n">
        <x:f>'05 Gate Output'!M116</x:f>
        <x:v>1</x:v>
      </x:c>
    </x:row>
    <x:row r="117">
      <x:c r="A117" t="n">
        <x:f>'01 Sensory Input'!A117</x:f>
        <x:v>6</x:v>
      </x:c>
      <x:c r="B117" t="n">
        <x:f>'01 Sensory Input'!B117</x:f>
        <x:v>12</x:v>
      </x:c>
      <x:c r="C117" s="12" t="n">
        <x:f>'01 Sensory Input'!C117</x:f>
        <x:v>0.35</x:v>
      </x:c>
      <x:c r="D117" s="12" t="n">
        <x:f>'01 Sensory Input'!D117</x:f>
        <x:v>0.44</x:v>
      </x:c>
      <x:c r="E117" s="12" t="n">
        <x:f>'01 Sensory Input'!E117</x:f>
        <x:v>0.25</x:v>
      </x:c>
      <x:c r="F117" s="12" t="n">
        <x:f>'01 Sensory Input'!F117</x:f>
        <x:v>0.2</x:v>
      </x:c>
      <x:c r="G117" s="12" t="n">
        <x:f>'01 Sensory Input'!G117</x:f>
        <x:v>0.42</x:v>
      </x:c>
      <x:c r="H117" t="n">
        <x:f>'02a n'!C117</x:f>
        <x:v>0</x:v>
      </x:c>
      <x:c r="I117" t="n">
        <x:f>'02a n'!D117</x:f>
        <x:v>0</x:v>
      </x:c>
      <x:c r="J117" t="n">
        <x:f>'02a n'!E117</x:f>
        <x:v>0</x:v>
      </x:c>
      <x:c r="K117" t="n">
        <x:f>'02a n'!F117</x:f>
        <x:v>0</x:v>
      </x:c>
      <x:c r="L117" t="n">
        <x:f>'02a n'!G117</x:f>
        <x:v>0</x:v>
      </x:c>
      <x:c r="M117" t="n">
        <x:f>'02b n^-1'!C117</x:f>
        <x:v>0</x:v>
      </x:c>
      <x:c r="N117" t="n">
        <x:f>'02b n^-1'!D117</x:f>
        <x:v>0</x:v>
      </x:c>
      <x:c r="O117" t="n">
        <x:f>'02b n^-1'!E117</x:f>
        <x:v>0</x:v>
      </x:c>
      <x:c r="P117" t="n">
        <x:f>'02b n^-1'!F117</x:f>
        <x:v>0</x:v>
      </x:c>
      <x:c r="Q117" t="n">
        <x:f>'02b n^-1'!G117</x:f>
        <x:v>0</x:v>
      </x:c>
      <x:c r="R117" t="n">
        <x:f>'02b n^-1'!H117</x:f>
        <x:v>0</x:v>
      </x:c>
      <x:c r="S117" s="12" t="n">
        <x:f>'02c n^-2'!C117</x:f>
        <x:v>0</x:v>
      </x:c>
      <x:c r="T117" t="n">
        <x:f>'02c n^-2'!D117</x:f>
        <x:v>0</x:v>
      </x:c>
      <x:c r="U117" t="n">
        <x:f>'05 Gate Output'!H117</x:f>
        <x:v>1</x:v>
      </x:c>
      <x:c r="V117" t="n">
        <x:f>'05 Gate Output'!I117</x:f>
        <x:v>0</x:v>
      </x:c>
      <x:c r="W117" t="n">
        <x:f>'05 Gate Output'!J117</x:f>
        <x:v>0</x:v>
      </x:c>
      <x:c r="X117" t="n">
        <x:f>'05 Gate Output'!K117</x:f>
        <x:v>0</x:v>
      </x:c>
      <x:c r="Y117" t="n">
        <x:f>'05 Gate Output'!L117</x:f>
        <x:v>0</x:v>
      </x:c>
      <x:c r="Z117" t="n">
        <x:f>'05 Gate Output'!M117</x:f>
        <x:v>0</x:v>
      </x:c>
    </x:row>
    <x:row r="118">
      <x:c r="A118" t="n">
        <x:f>'01 Sensory Input'!A118</x:f>
        <x:v>6</x:v>
      </x:c>
      <x:c r="B118" t="n">
        <x:f>'01 Sensory Input'!B118</x:f>
        <x:v>13</x:v>
      </x:c>
      <x:c r="C118" s="12" t="n">
        <x:f>'01 Sensory Input'!C118</x:f>
        <x:v>0.43</x:v>
      </x:c>
      <x:c r="D118" s="12" t="n">
        <x:f>'01 Sensory Input'!D118</x:f>
        <x:v>0.51</x:v>
      </x:c>
      <x:c r="E118" s="12" t="n">
        <x:f>'01 Sensory Input'!E118</x:f>
        <x:v>0.35</x:v>
      </x:c>
      <x:c r="F118" s="12" t="n">
        <x:f>'01 Sensory Input'!F118</x:f>
        <x:v>0.26</x:v>
      </x:c>
      <x:c r="G118" s="12" t="n">
        <x:f>'01 Sensory Input'!G118</x:f>
        <x:v>0.49</x:v>
      </x:c>
      <x:c r="H118" t="n">
        <x:f>'02a n'!C118</x:f>
        <x:v>0</x:v>
      </x:c>
      <x:c r="I118" t="n">
        <x:f>'02a n'!D118</x:f>
        <x:v>0</x:v>
      </x:c>
      <x:c r="J118" t="n">
        <x:f>'02a n'!E118</x:f>
        <x:v>0</x:v>
      </x:c>
      <x:c r="K118" t="n">
        <x:f>'02a n'!F118</x:f>
        <x:v>0</x:v>
      </x:c>
      <x:c r="L118" t="n">
        <x:f>'02a n'!G118</x:f>
        <x:v>0</x:v>
      </x:c>
      <x:c r="M118" t="n">
        <x:f>'02b n^-1'!C118</x:f>
        <x:v>0</x:v>
      </x:c>
      <x:c r="N118" t="n">
        <x:f>'02b n^-1'!D118</x:f>
        <x:v>0</x:v>
      </x:c>
      <x:c r="O118" t="n">
        <x:f>'02b n^-1'!E118</x:f>
        <x:v>0</x:v>
      </x:c>
      <x:c r="P118" t="n">
        <x:f>'02b n^-1'!F118</x:f>
        <x:v>0</x:v>
      </x:c>
      <x:c r="Q118" t="n">
        <x:f>'02b n^-1'!G118</x:f>
        <x:v>0</x:v>
      </x:c>
      <x:c r="R118" t="n">
        <x:f>'02b n^-1'!H118</x:f>
        <x:v>0</x:v>
      </x:c>
      <x:c r="S118" s="12" t="n">
        <x:f>'02c n^-2'!C118</x:f>
        <x:v>0</x:v>
      </x:c>
      <x:c r="T118" t="n">
        <x:f>'02c n^-2'!D118</x:f>
        <x:v>0</x:v>
      </x:c>
      <x:c r="U118" t="n">
        <x:f>'05 Gate Output'!H118</x:f>
        <x:v>1</x:v>
      </x:c>
      <x:c r="V118" t="n">
        <x:f>'05 Gate Output'!I118</x:f>
        <x:v>0</x:v>
      </x:c>
      <x:c r="W118" t="n">
        <x:f>'05 Gate Output'!J118</x:f>
        <x:v>0</x:v>
      </x:c>
      <x:c r="X118" t="n">
        <x:f>'05 Gate Output'!K118</x:f>
        <x:v>0</x:v>
      </x:c>
      <x:c r="Y118" t="n">
        <x:f>'05 Gate Output'!L118</x:f>
        <x:v>0</x:v>
      </x:c>
      <x:c r="Z118" t="n">
        <x:f>'05 Gate Output'!M118</x:f>
        <x:v>0</x:v>
      </x:c>
    </x:row>
    <x:row r="119">
      <x:c r="A119" t="n">
        <x:f>'01 Sensory Input'!A119</x:f>
        <x:v>6</x:v>
      </x:c>
      <x:c r="B119" t="n">
        <x:f>'01 Sensory Input'!B119</x:f>
        <x:v>14</x:v>
      </x:c>
      <x:c r="C119" s="12" t="n">
        <x:f>'01 Sensory Input'!C119</x:f>
        <x:v>0.51</x:v>
      </x:c>
      <x:c r="D119" s="12" t="n">
        <x:f>'01 Sensory Input'!D119</x:f>
        <x:v>1</x:v>
      </x:c>
      <x:c r="E119" s="12" t="n">
        <x:f>'01 Sensory Input'!E119</x:f>
        <x:v>0.45</x:v>
      </x:c>
      <x:c r="F119" s="12" t="n">
        <x:f>'01 Sensory Input'!F119</x:f>
        <x:v>0.32</x:v>
      </x:c>
      <x:c r="G119" s="12" t="n">
        <x:f>'01 Sensory Input'!G119</x:f>
        <x:v>0.56</x:v>
      </x:c>
      <x:c r="H119" t="n">
        <x:f>'02a n'!C119</x:f>
        <x:v>0</x:v>
      </x:c>
      <x:c r="I119" t="n">
        <x:f>'02a n'!D119</x:f>
        <x:v>1</x:v>
      </x:c>
      <x:c r="J119" t="n">
        <x:f>'02a n'!E119</x:f>
        <x:v>0</x:v>
      </x:c>
      <x:c r="K119" t="n">
        <x:f>'02a n'!F119</x:f>
        <x:v>0</x:v>
      </x:c>
      <x:c r="L119" t="n">
        <x:f>'02a n'!G119</x:f>
        <x:v>0</x:v>
      </x:c>
      <x:c r="M119" t="n">
        <x:f>'02b n^-1'!C119</x:f>
        <x:v>0</x:v>
      </x:c>
      <x:c r="N119" t="n">
        <x:f>'02b n^-1'!D119</x:f>
        <x:v>0</x:v>
      </x:c>
      <x:c r="O119" t="n">
        <x:f>'02b n^-1'!E119</x:f>
        <x:v>0</x:v>
      </x:c>
      <x:c r="P119" t="n">
        <x:f>'02b n^-1'!F119</x:f>
        <x:v>0</x:v>
      </x:c>
      <x:c r="Q119" t="n">
        <x:f>'02b n^-1'!G119</x:f>
        <x:v>0</x:v>
      </x:c>
      <x:c r="R119" t="n">
        <x:f>'02b n^-1'!H119</x:f>
        <x:v>0</x:v>
      </x:c>
      <x:c r="S119" s="12" t="n">
        <x:f>'02c n^-2'!C119</x:f>
        <x:v>0</x:v>
      </x:c>
      <x:c r="T119" t="n">
        <x:f>'02c n^-2'!D119</x:f>
        <x:v>0</x:v>
      </x:c>
      <x:c r="U119" t="n">
        <x:f>'05 Gate Output'!H119</x:f>
        <x:v>1</x:v>
      </x:c>
      <x:c r="V119" t="n">
        <x:f>'05 Gate Output'!I119</x:f>
        <x:v>0</x:v>
      </x:c>
      <x:c r="W119" t="n">
        <x:f>'05 Gate Output'!J119</x:f>
        <x:v>0</x:v>
      </x:c>
      <x:c r="X119" t="n">
        <x:f>'05 Gate Output'!K119</x:f>
        <x:v>0</x:v>
      </x:c>
      <x:c r="Y119" t="n">
        <x:f>'05 Gate Output'!L119</x:f>
        <x:v>0</x:v>
      </x:c>
      <x:c r="Z119" t="n">
        <x:f>'05 Gate Output'!M119</x:f>
        <x:v>0</x:v>
      </x:c>
    </x:row>
    <x:row r="120">
      <x:c r="A120" t="n">
        <x:f>'01 Sensory Input'!A120</x:f>
        <x:v>6</x:v>
      </x:c>
      <x:c r="B120" t="n">
        <x:f>'01 Sensory Input'!B120</x:f>
        <x:v>15</x:v>
      </x:c>
      <x:c r="C120" s="12" t="n">
        <x:f>'01 Sensory Input'!C120</x:f>
        <x:v>0.59</x:v>
      </x:c>
      <x:c r="D120" s="12" t="n">
        <x:f>'01 Sensory Input'!D120</x:f>
        <x:v>0.3</x:v>
      </x:c>
      <x:c r="E120" s="12" t="n">
        <x:f>'01 Sensory Input'!E120</x:f>
        <x:v>0.25</x:v>
      </x:c>
      <x:c r="F120" s="12" t="n">
        <x:f>'01 Sensory Input'!F120</x:f>
        <x:v>0.38</x:v>
      </x:c>
      <x:c r="G120" s="12" t="n">
        <x:f>'01 Sensory Input'!G120</x:f>
        <x:v>0.28</x:v>
      </x:c>
      <x:c r="H120" t="n">
        <x:f>'02a n'!C120</x:f>
        <x:v>0</x:v>
      </x:c>
      <x:c r="I120" t="n">
        <x:f>'02a n'!D120</x:f>
        <x:v>0</x:v>
      </x:c>
      <x:c r="J120" t="n">
        <x:f>'02a n'!E120</x:f>
        <x:v>0</x:v>
      </x:c>
      <x:c r="K120" t="n">
        <x:f>'02a n'!F120</x:f>
        <x:v>0</x:v>
      </x:c>
      <x:c r="L120" t="n">
        <x:f>'02a n'!G120</x:f>
        <x:v>0</x:v>
      </x:c>
      <x:c r="M120" t="n">
        <x:f>'02b n^-1'!C120</x:f>
        <x:v>0</x:v>
      </x:c>
      <x:c r="N120" t="n">
        <x:f>'02b n^-1'!D120</x:f>
        <x:v>1</x:v>
      </x:c>
      <x:c r="O120" t="n">
        <x:f>'02b n^-1'!E120</x:f>
        <x:v>0</x:v>
      </x:c>
      <x:c r="P120" t="n">
        <x:f>'02b n^-1'!F120</x:f>
        <x:v>0</x:v>
      </x:c>
      <x:c r="Q120" t="n">
        <x:f>'02b n^-1'!G120</x:f>
        <x:v>0</x:v>
      </x:c>
      <x:c r="R120" t="n">
        <x:f>'02b n^-1'!H120</x:f>
        <x:v>0</x:v>
      </x:c>
      <x:c r="S120" s="12" t="n">
        <x:f>'02c n^-2'!C120</x:f>
        <x:v>0.16666666666666666</x:v>
      </x:c>
      <x:c r="T120" t="n">
        <x:f>'02c n^-2'!D120</x:f>
        <x:v>1</x:v>
      </x:c>
      <x:c r="U120" t="n">
        <x:f>'05 Gate Output'!H120</x:f>
        <x:v>0</x:v>
      </x:c>
      <x:c r="V120" t="n">
        <x:f>'05 Gate Output'!I120</x:f>
        <x:v>1</x:v>
      </x:c>
      <x:c r="W120" t="n">
        <x:f>'05 Gate Output'!J120</x:f>
        <x:v>1</x:v>
      </x:c>
      <x:c r="X120" t="n">
        <x:f>'05 Gate Output'!K120</x:f>
        <x:v>1</x:v>
      </x:c>
      <x:c r="Y120" t="n">
        <x:f>'05 Gate Output'!L120</x:f>
        <x:v>0</x:v>
      </x:c>
      <x:c r="Z120" t="n">
        <x:f>'05 Gate Output'!M120</x:f>
        <x:v>1</x:v>
      </x:c>
    </x:row>
    <x:row r="121">
      <x:c r="A121" t="n">
        <x:f>'01 Sensory Input'!A121</x:f>
        <x:v>6</x:v>
      </x:c>
      <x:c r="B121" t="n">
        <x:f>'01 Sensory Input'!B121</x:f>
        <x:v>16</x:v>
      </x:c>
      <x:c r="C121" s="12" t="n">
        <x:f>'01 Sensory Input'!C121</x:f>
        <x:v>0.35</x:v>
      </x:c>
      <x:c r="D121" s="12" t="n">
        <x:f>'01 Sensory Input'!D121</x:f>
        <x:v>0.37</x:v>
      </x:c>
      <x:c r="E121" s="12" t="n">
        <x:f>'01 Sensory Input'!E121</x:f>
        <x:v>0.35</x:v>
      </x:c>
      <x:c r="F121" s="12" t="n">
        <x:f>'01 Sensory Input'!F121</x:f>
        <x:v>0.2</x:v>
      </x:c>
      <x:c r="G121" s="12" t="n">
        <x:f>'01 Sensory Input'!G121</x:f>
        <x:v>0.35</x:v>
      </x:c>
      <x:c r="H121" t="n">
        <x:f>'02a n'!C121</x:f>
        <x:v>0</x:v>
      </x:c>
      <x:c r="I121" t="n">
        <x:f>'02a n'!D121</x:f>
        <x:v>0</x:v>
      </x:c>
      <x:c r="J121" t="n">
        <x:f>'02a n'!E121</x:f>
        <x:v>0</x:v>
      </x:c>
      <x:c r="K121" t="n">
        <x:f>'02a n'!F121</x:f>
        <x:v>0</x:v>
      </x:c>
      <x:c r="L121" t="n">
        <x:f>'02a n'!G121</x:f>
        <x:v>0</x:v>
      </x:c>
      <x:c r="M121" t="n">
        <x:f>'02b n^-1'!C121</x:f>
        <x:v>0</x:v>
      </x:c>
      <x:c r="N121" t="n">
        <x:f>'02b n^-1'!D121</x:f>
        <x:v>0</x:v>
      </x:c>
      <x:c r="O121" t="n">
        <x:f>'02b n^-1'!E121</x:f>
        <x:v>0</x:v>
      </x:c>
      <x:c r="P121" t="n">
        <x:f>'02b n^-1'!F121</x:f>
        <x:v>0</x:v>
      </x:c>
      <x:c r="Q121" t="n">
        <x:f>'02b n^-1'!G121</x:f>
        <x:v>0</x:v>
      </x:c>
      <x:c r="R121" t="n">
        <x:f>'02b n^-1'!H121</x:f>
        <x:v>0</x:v>
      </x:c>
      <x:c r="S121" s="12" t="n">
        <x:f>'02c n^-2'!C121</x:f>
        <x:v>0</x:v>
      </x:c>
      <x:c r="T121" t="n">
        <x:f>'02c n^-2'!D121</x:f>
        <x:v>1</x:v>
      </x:c>
      <x:c r="U121" t="n">
        <x:f>'05 Gate Output'!H121</x:f>
        <x:v>0</x:v>
      </x:c>
      <x:c r="V121" t="n">
        <x:f>'05 Gate Output'!I121</x:f>
        <x:v>1</x:v>
      </x:c>
      <x:c r="W121" t="n">
        <x:f>'05 Gate Output'!J121</x:f>
        <x:v>1</x:v>
      </x:c>
      <x:c r="X121" t="n">
        <x:f>'05 Gate Output'!K121</x:f>
        <x:v>1</x:v>
      </x:c>
      <x:c r="Y121" t="n">
        <x:f>'05 Gate Output'!L121</x:f>
        <x:v>0</x:v>
      </x:c>
      <x:c r="Z121" t="n">
        <x:f>'05 Gate Output'!M121</x:f>
        <x:v>1</x:v>
      </x:c>
    </x:row>
    <x:row r="122">
      <x:c r="A122" t="n">
        <x:f>'01 Sensory Input'!A122</x:f>
        <x:v>6</x:v>
      </x:c>
      <x:c r="B122" t="n">
        <x:f>'01 Sensory Input'!B122</x:f>
        <x:v>17</x:v>
      </x:c>
      <x:c r="C122" s="12" t="n">
        <x:f>'01 Sensory Input'!C122</x:f>
        <x:v>0.43</x:v>
      </x:c>
      <x:c r="D122" s="12" t="n">
        <x:f>'01 Sensory Input'!D122</x:f>
        <x:v>0.44</x:v>
      </x:c>
      <x:c r="E122" s="12" t="n">
        <x:f>'01 Sensory Input'!E122</x:f>
        <x:v>0.45</x:v>
      </x:c>
      <x:c r="F122" s="12" t="n">
        <x:f>'01 Sensory Input'!F122</x:f>
        <x:v>0.26</x:v>
      </x:c>
      <x:c r="G122" s="12" t="n">
        <x:f>'01 Sensory Input'!G122</x:f>
        <x:v>0.42</x:v>
      </x:c>
      <x:c r="H122" t="n">
        <x:f>'02a n'!C122</x:f>
        <x:v>0</x:v>
      </x:c>
      <x:c r="I122" t="n">
        <x:f>'02a n'!D122</x:f>
        <x:v>0</x:v>
      </x:c>
      <x:c r="J122" t="n">
        <x:f>'02a n'!E122</x:f>
        <x:v>0</x:v>
      </x:c>
      <x:c r="K122" t="n">
        <x:f>'02a n'!F122</x:f>
        <x:v>0</x:v>
      </x:c>
      <x:c r="L122" t="n">
        <x:f>'02a n'!G122</x:f>
        <x:v>0</x:v>
      </x:c>
      <x:c r="M122" t="n">
        <x:f>'02b n^-1'!C122</x:f>
        <x:v>0</x:v>
      </x:c>
      <x:c r="N122" t="n">
        <x:f>'02b n^-1'!D122</x:f>
        <x:v>0</x:v>
      </x:c>
      <x:c r="O122" t="n">
        <x:f>'02b n^-1'!E122</x:f>
        <x:v>0</x:v>
      </x:c>
      <x:c r="P122" t="n">
        <x:f>'02b n^-1'!F122</x:f>
        <x:v>0</x:v>
      </x:c>
      <x:c r="Q122" t="n">
        <x:f>'02b n^-1'!G122</x:f>
        <x:v>0</x:v>
      </x:c>
      <x:c r="R122" t="n">
        <x:f>'02b n^-1'!H122</x:f>
        <x:v>0</x:v>
      </x:c>
      <x:c r="S122" s="12" t="n">
        <x:f>'02c n^-2'!C122</x:f>
        <x:v>0</x:v>
      </x:c>
      <x:c r="T122" t="n">
        <x:f>'02c n^-2'!D122</x:f>
        <x:v>0</x:v>
      </x:c>
      <x:c r="U122" t="n">
        <x:f>'05 Gate Output'!H122</x:f>
        <x:v>1</x:v>
      </x:c>
      <x:c r="V122" t="n">
        <x:f>'05 Gate Output'!I122</x:f>
        <x:v>0</x:v>
      </x:c>
      <x:c r="W122" t="n">
        <x:f>'05 Gate Output'!J122</x:f>
        <x:v>0</x:v>
      </x:c>
      <x:c r="X122" t="n">
        <x:f>'05 Gate Output'!K122</x:f>
        <x:v>0</x:v>
      </x:c>
      <x:c r="Y122" t="n">
        <x:f>'05 Gate Output'!L122</x:f>
        <x:v>0</x:v>
      </x:c>
      <x:c r="Z122" t="n">
        <x:f>'05 Gate Output'!M122</x:f>
        <x:v>0</x:v>
      </x:c>
    </x:row>
    <x:row r="123">
      <x:c r="A123" t="n">
        <x:f>'01 Sensory Input'!A123</x:f>
        <x:v>6</x:v>
      </x:c>
      <x:c r="B123" t="n">
        <x:f>'01 Sensory Input'!B123</x:f>
        <x:v>18</x:v>
      </x:c>
      <x:c r="C123" s="12" t="n">
        <x:f>'01 Sensory Input'!C123</x:f>
        <x:v>0.51</x:v>
      </x:c>
      <x:c r="D123" s="12" t="n">
        <x:f>'01 Sensory Input'!D123</x:f>
        <x:v>0.51</x:v>
      </x:c>
      <x:c r="E123" s="12" t="n">
        <x:f>'01 Sensory Input'!E123</x:f>
        <x:v>0.25</x:v>
      </x:c>
      <x:c r="F123" s="12" t="n">
        <x:f>'01 Sensory Input'!F123</x:f>
        <x:v>0.32</x:v>
      </x:c>
      <x:c r="G123" s="12" t="n">
        <x:f>'01 Sensory Input'!G123</x:f>
        <x:v>0.49</x:v>
      </x:c>
      <x:c r="H123" t="n">
        <x:f>'02a n'!C123</x:f>
        <x:v>0</x:v>
      </x:c>
      <x:c r="I123" t="n">
        <x:f>'02a n'!D123</x:f>
        <x:v>0</x:v>
      </x:c>
      <x:c r="J123" t="n">
        <x:f>'02a n'!E123</x:f>
        <x:v>0</x:v>
      </x:c>
      <x:c r="K123" t="n">
        <x:f>'02a n'!F123</x:f>
        <x:v>0</x:v>
      </x:c>
      <x:c r="L123" t="n">
        <x:f>'02a n'!G123</x:f>
        <x:v>0</x:v>
      </x:c>
      <x:c r="M123" t="n">
        <x:f>'02b n^-1'!C123</x:f>
        <x:v>0</x:v>
      </x:c>
      <x:c r="N123" t="n">
        <x:f>'02b n^-1'!D123</x:f>
        <x:v>0</x:v>
      </x:c>
      <x:c r="O123" t="n">
        <x:f>'02b n^-1'!E123</x:f>
        <x:v>0</x:v>
      </x:c>
      <x:c r="P123" t="n">
        <x:f>'02b n^-1'!F123</x:f>
        <x:v>0</x:v>
      </x:c>
      <x:c r="Q123" t="n">
        <x:f>'02b n^-1'!G123</x:f>
        <x:v>0</x:v>
      </x:c>
      <x:c r="R123" t="n">
        <x:f>'02b n^-1'!H123</x:f>
        <x:v>0</x:v>
      </x:c>
      <x:c r="S123" s="12" t="n">
        <x:f>'02c n^-2'!C123</x:f>
        <x:v>0</x:v>
      </x:c>
      <x:c r="T123" t="n">
        <x:f>'02c n^-2'!D123</x:f>
        <x:v>0</x:v>
      </x:c>
      <x:c r="U123" t="n">
        <x:f>'05 Gate Output'!H123</x:f>
        <x:v>1</x:v>
      </x:c>
      <x:c r="V123" t="n">
        <x:f>'05 Gate Output'!I123</x:f>
        <x:v>0</x:v>
      </x:c>
      <x:c r="W123" t="n">
        <x:f>'05 Gate Output'!J123</x:f>
        <x:v>0</x:v>
      </x:c>
      <x:c r="X123" t="n">
        <x:f>'05 Gate Output'!K123</x:f>
        <x:v>0</x:v>
      </x:c>
      <x:c r="Y123" t="n">
        <x:f>'05 Gate Output'!L123</x:f>
        <x:v>0</x:v>
      </x:c>
      <x:c r="Z123" t="n">
        <x:f>'05 Gate Output'!M123</x:f>
        <x:v>0</x:v>
      </x:c>
    </x:row>
    <x:row r="124">
      <x:c r="A124" t="n">
        <x:f>'01 Sensory Input'!A124</x:f>
        <x:v>6</x:v>
      </x:c>
      <x:c r="B124" t="n">
        <x:f>'01 Sensory Input'!B124</x:f>
        <x:v>19</x:v>
      </x:c>
      <x:c r="C124" s="12" t="n">
        <x:f>'01 Sensory Input'!C124</x:f>
        <x:v>0.59</x:v>
      </x:c>
      <x:c r="D124" s="12" t="n">
        <x:f>'01 Sensory Input'!D124</x:f>
        <x:v>0.58</x:v>
      </x:c>
      <x:c r="E124" s="12" t="n">
        <x:f>'01 Sensory Input'!E124</x:f>
        <x:v>0.35</x:v>
      </x:c>
      <x:c r="F124" s="12" t="n">
        <x:f>'01 Sensory Input'!F124</x:f>
        <x:v>0.38</x:v>
      </x:c>
      <x:c r="G124" s="12" t="n">
        <x:f>'01 Sensory Input'!G124</x:f>
        <x:v>0.56</x:v>
      </x:c>
      <x:c r="H124" t="n">
        <x:f>'02a n'!C124</x:f>
        <x:v>0</x:v>
      </x:c>
      <x:c r="I124" t="n">
        <x:f>'02a n'!D124</x:f>
        <x:v>0</x:v>
      </x:c>
      <x:c r="J124" t="n">
        <x:f>'02a n'!E124</x:f>
        <x:v>0</x:v>
      </x:c>
      <x:c r="K124" t="n">
        <x:f>'02a n'!F124</x:f>
        <x:v>0</x:v>
      </x:c>
      <x:c r="L124" t="n">
        <x:f>'02a n'!G124</x:f>
        <x:v>0</x:v>
      </x:c>
      <x:c r="M124" t="n">
        <x:f>'02b n^-1'!C124</x:f>
        <x:v>0</x:v>
      </x:c>
      <x:c r="N124" t="n">
        <x:f>'02b n^-1'!D124</x:f>
        <x:v>0</x:v>
      </x:c>
      <x:c r="O124" t="n">
        <x:f>'02b n^-1'!E124</x:f>
        <x:v>0</x:v>
      </x:c>
      <x:c r="P124" t="n">
        <x:f>'02b n^-1'!F124</x:f>
        <x:v>0</x:v>
      </x:c>
      <x:c r="Q124" t="n">
        <x:f>'02b n^-1'!G124</x:f>
        <x:v>0</x:v>
      </x:c>
      <x:c r="R124" t="n">
        <x:f>'02b n^-1'!H124</x:f>
        <x:v>0</x:v>
      </x:c>
      <x:c r="S124" s="12" t="n">
        <x:f>'02c n^-2'!C124</x:f>
        <x:v>0</x:v>
      </x:c>
      <x:c r="T124" t="n">
        <x:f>'02c n^-2'!D124</x:f>
        <x:v>0</x:v>
      </x:c>
      <x:c r="U124" t="n">
        <x:f>'05 Gate Output'!H124</x:f>
        <x:v>1</x:v>
      </x:c>
      <x:c r="V124" t="n">
        <x:f>'05 Gate Output'!I124</x:f>
        <x:v>0</x:v>
      </x:c>
      <x:c r="W124" t="n">
        <x:f>'05 Gate Output'!J124</x:f>
        <x:v>0</x:v>
      </x:c>
      <x:c r="X124" t="n">
        <x:f>'05 Gate Output'!K124</x:f>
        <x:v>0</x:v>
      </x:c>
      <x:c r="Y124" t="n">
        <x:f>'05 Gate Output'!L124</x:f>
        <x:v>0</x:v>
      </x:c>
      <x:c r="Z124" t="n">
        <x:f>'05 Gate Output'!M124</x:f>
        <x:v>0</x:v>
      </x:c>
    </x:row>
    <x:row r="125">
      <x:c r="A125" t="n">
        <x:f>'01 Sensory Input'!A125</x:f>
        <x:v>6</x:v>
      </x:c>
      <x:c r="B125" t="n">
        <x:f>'01 Sensory Input'!B125</x:f>
        <x:v>20</x:v>
      </x:c>
      <x:c r="C125" s="12" t="n">
        <x:f>'01 Sensory Input'!C125</x:f>
        <x:v>0.35</x:v>
      </x:c>
      <x:c r="D125" s="12" t="n">
        <x:f>'01 Sensory Input'!D125</x:f>
        <x:v>0.3</x:v>
      </x:c>
      <x:c r="E125" s="12" t="n">
        <x:f>'01 Sensory Input'!E125</x:f>
        <x:v>0.45</x:v>
      </x:c>
      <x:c r="F125" s="12" t="n">
        <x:f>'01 Sensory Input'!F125</x:f>
        <x:v>0.2</x:v>
      </x:c>
      <x:c r="G125" s="12" t="n">
        <x:f>'01 Sensory Input'!G125</x:f>
        <x:v>0.28</x:v>
      </x:c>
      <x:c r="H125" t="n">
        <x:f>'02a n'!C125</x:f>
        <x:v>0</x:v>
      </x:c>
      <x:c r="I125" t="n">
        <x:f>'02a n'!D125</x:f>
        <x:v>0</x:v>
      </x:c>
      <x:c r="J125" t="n">
        <x:f>'02a n'!E125</x:f>
        <x:v>0</x:v>
      </x:c>
      <x:c r="K125" t="n">
        <x:f>'02a n'!F125</x:f>
        <x:v>0</x:v>
      </x:c>
      <x:c r="L125" t="n">
        <x:f>'02a n'!G125</x:f>
        <x:v>0</x:v>
      </x:c>
      <x:c r="M125" t="n">
        <x:f>'02b n^-1'!C125</x:f>
        <x:v>0</x:v>
      </x:c>
      <x:c r="N125" t="n">
        <x:f>'02b n^-1'!D125</x:f>
        <x:v>0</x:v>
      </x:c>
      <x:c r="O125" t="n">
        <x:f>'02b n^-1'!E125</x:f>
        <x:v>0</x:v>
      </x:c>
      <x:c r="P125" t="n">
        <x:f>'02b n^-1'!F125</x:f>
        <x:v>0</x:v>
      </x:c>
      <x:c r="Q125" t="n">
        <x:f>'02b n^-1'!G125</x:f>
        <x:v>0</x:v>
      </x:c>
      <x:c r="R125" t="n">
        <x:f>'02b n^-1'!H125</x:f>
        <x:v>0</x:v>
      </x:c>
      <x:c r="S125" s="12" t="n">
        <x:f>'02c n^-2'!C125</x:f>
        <x:v>0</x:v>
      </x:c>
      <x:c r="T125" t="n">
        <x:f>'02c n^-2'!D125</x:f>
        <x:v>0</x:v>
      </x:c>
      <x:c r="U125" t="n">
        <x:f>'05 Gate Output'!H125</x:f>
        <x:v>1</x:v>
      </x:c>
      <x:c r="V125" t="n">
        <x:f>'05 Gate Output'!I125</x:f>
        <x:v>0</x:v>
      </x:c>
      <x:c r="W125" t="n">
        <x:f>'05 Gate Output'!J125</x:f>
        <x:v>0</x:v>
      </x:c>
      <x:c r="X125" t="n">
        <x:f>'05 Gate Output'!K125</x:f>
        <x:v>0</x:v>
      </x:c>
      <x:c r="Y125" t="n">
        <x:f>'05 Gate Output'!L125</x:f>
        <x:v>0</x:v>
      </x:c>
      <x:c r="Z125" t="n">
        <x:f>'05 Gate Output'!M125</x:f>
        <x:v>0</x:v>
      </x:c>
    </x:row>
    <x:row r="126">
      <x:c r="A126" t="n">
        <x:f>'01 Sensory Input'!A126</x:f>
        <x:v>7</x:v>
      </x:c>
      <x:c r="B126" t="n">
        <x:f>'01 Sensory Input'!B126</x:f>
        <x:v>1</x:v>
      </x:c>
      <x:c r="C126" s="12" t="n">
        <x:f>'01 Sensory Input'!C126</x:f>
        <x:v>0.2</x:v>
      </x:c>
      <x:c r="D126" s="12" t="n">
        <x:f>'01 Sensory Input'!D126</x:f>
        <x:v>0.22</x:v>
      </x:c>
      <x:c r="E126" s="12" t="n">
        <x:f>'01 Sensory Input'!E126</x:f>
        <x:v>0.65</x:v>
      </x:c>
      <x:c r="F126" s="12" t="n">
        <x:f>'01 Sensory Input'!F126</x:f>
        <x:v>0.18</x:v>
      </x:c>
      <x:c r="G126" s="12" t="n">
        <x:f>'01 Sensory Input'!G126</x:f>
        <x:v>0.16</x:v>
      </x:c>
      <x:c r="H126" t="n">
        <x:f>'02a n'!C126</x:f>
        <x:v>0</x:v>
      </x:c>
      <x:c r="I126" t="n">
        <x:f>'02a n'!D126</x:f>
        <x:v>0</x:v>
      </x:c>
      <x:c r="J126" t="n">
        <x:f>'02a n'!E126</x:f>
        <x:v>0</x:v>
      </x:c>
      <x:c r="K126" t="n">
        <x:f>'02a n'!F126</x:f>
        <x:v>0</x:v>
      </x:c>
      <x:c r="L126" t="n">
        <x:f>'02a n'!G126</x:f>
        <x:v>0</x:v>
      </x:c>
      <x:c r="M126" t="n">
        <x:f>'02b n^-1'!C126</x:f>
        <x:v>0</x:v>
      </x:c>
      <x:c r="N126" t="n">
        <x:f>'02b n^-1'!D126</x:f>
        <x:v>0</x:v>
      </x:c>
      <x:c r="O126" t="n">
        <x:f>'02b n^-1'!E126</x:f>
        <x:v>0</x:v>
      </x:c>
      <x:c r="P126" t="n">
        <x:f>'02b n^-1'!F126</x:f>
        <x:v>0</x:v>
      </x:c>
      <x:c r="Q126" t="n">
        <x:f>'02b n^-1'!G126</x:f>
        <x:v>0</x:v>
      </x:c>
      <x:c r="R126" t="n">
        <x:f>'02b n^-1'!H126</x:f>
        <x:v>0</x:v>
      </x:c>
      <x:c r="S126" s="12" t="n">
        <x:f>'02c n^-2'!C126</x:f>
        <x:v>0</x:v>
      </x:c>
      <x:c r="T126" t="n">
        <x:f>'02c n^-2'!D126</x:f>
        <x:v>0</x:v>
      </x:c>
      <x:c r="U126" t="n">
        <x:f>'05 Gate Output'!H126</x:f>
        <x:v>1</x:v>
      </x:c>
      <x:c r="V126" t="n">
        <x:f>'05 Gate Output'!I126</x:f>
        <x:v>0</x:v>
      </x:c>
      <x:c r="W126" t="n">
        <x:f>'05 Gate Output'!J126</x:f>
        <x:v>0</x:v>
      </x:c>
      <x:c r="X126" t="n">
        <x:f>'05 Gate Output'!K126</x:f>
        <x:v>0</x:v>
      </x:c>
      <x:c r="Y126" t="n">
        <x:f>'05 Gate Output'!L126</x:f>
        <x:v>0</x:v>
      </x:c>
      <x:c r="Z126" t="n">
        <x:f>'05 Gate Output'!M126</x:f>
        <x:v>0</x:v>
      </x:c>
    </x:row>
    <x:row r="127">
      <x:c r="A127" t="n">
        <x:f>'01 Sensory Input'!A127</x:f>
        <x:v>7</x:v>
      </x:c>
      <x:c r="B127" t="n">
        <x:f>'01 Sensory Input'!B127</x:f>
        <x:v>2</x:v>
      </x:c>
      <x:c r="C127" s="12" t="n">
        <x:f>'01 Sensory Input'!C127</x:f>
        <x:v>0.78</x:v>
      </x:c>
      <x:c r="D127" s="12" t="n">
        <x:f>'01 Sensory Input'!D127</x:f>
        <x:v>0.75</x:v>
      </x:c>
      <x:c r="E127" s="12" t="n">
        <x:f>'01 Sensory Input'!E127</x:f>
        <x:v>0.12</x:v>
      </x:c>
      <x:c r="F127" s="12" t="n">
        <x:f>'01 Sensory Input'!F127</x:f>
        <x:v>0.18</x:v>
      </x:c>
      <x:c r="G127" s="12" t="n">
        <x:f>'01 Sensory Input'!G127</x:f>
        <x:v>0.16</x:v>
      </x:c>
      <x:c r="H127" t="n">
        <x:f>'02a n'!C127</x:f>
        <x:v>0</x:v>
      </x:c>
      <x:c r="I127" t="n">
        <x:f>'02a n'!D127</x:f>
        <x:v>0</x:v>
      </x:c>
      <x:c r="J127" t="n">
        <x:f>'02a n'!E127</x:f>
        <x:v>0</x:v>
      </x:c>
      <x:c r="K127" t="n">
        <x:f>'02a n'!F127</x:f>
        <x:v>0</x:v>
      </x:c>
      <x:c r="L127" t="n">
        <x:f>'02a n'!G127</x:f>
        <x:v>0</x:v>
      </x:c>
      <x:c r="M127" t="n">
        <x:f>'02b n^-1'!C127</x:f>
        <x:v>1</x:v>
      </x:c>
      <x:c r="N127" t="n">
        <x:f>'02b n^-1'!D127</x:f>
        <x:v>1</x:v>
      </x:c>
      <x:c r="O127" t="n">
        <x:f>'02b n^-1'!E127</x:f>
        <x:v>1</x:v>
      </x:c>
      <x:c r="P127" t="n">
        <x:f>'02b n^-1'!F127</x:f>
        <x:v>0</x:v>
      </x:c>
      <x:c r="Q127" t="n">
        <x:f>'02b n^-1'!G127</x:f>
        <x:v>0</x:v>
      </x:c>
      <x:c r="R127" t="n">
        <x:f>'02b n^-1'!H127</x:f>
        <x:v>1</x:v>
      </x:c>
      <x:c r="S127" s="12" t="n">
        <x:f>'02c n^-2'!C127</x:f>
        <x:v>0.6666666666666666</x:v>
      </x:c>
      <x:c r="T127" t="n">
        <x:f>'02c n^-2'!D127</x:f>
        <x:v>1</x:v>
      </x:c>
      <x:c r="U127" t="n">
        <x:f>'05 Gate Output'!H127</x:f>
        <x:v>0</x:v>
      </x:c>
      <x:c r="V127" t="n">
        <x:f>'05 Gate Output'!I127</x:f>
        <x:v>1</x:v>
      </x:c>
      <x:c r="W127" t="n">
        <x:f>'05 Gate Output'!J127</x:f>
        <x:v>1</x:v>
      </x:c>
      <x:c r="X127" t="n">
        <x:f>'05 Gate Output'!K127</x:f>
        <x:v>1</x:v>
      </x:c>
      <x:c r="Y127" t="n">
        <x:f>'05 Gate Output'!L127</x:f>
        <x:v>0</x:v>
      </x:c>
      <x:c r="Z127" t="n">
        <x:f>'05 Gate Output'!M127</x:f>
        <x:v>1</x:v>
      </x:c>
    </x:row>
    <x:row r="128">
      <x:c r="A128" t="n">
        <x:f>'01 Sensory Input'!A128</x:f>
        <x:v>7</x:v>
      </x:c>
      <x:c r="B128" t="n">
        <x:f>'01 Sensory Input'!B128</x:f>
        <x:v>3</x:v>
      </x:c>
      <x:c r="C128" s="12" t="n">
        <x:f>'01 Sensory Input'!C128</x:f>
        <x:v>0.25</x:v>
      </x:c>
      <x:c r="D128" s="12" t="n">
        <x:f>'01 Sensory Input'!D128</x:f>
        <x:v>0.22</x:v>
      </x:c>
      <x:c r="E128" s="12" t="n">
        <x:f>'01 Sensory Input'!E128</x:f>
        <x:v>0.12</x:v>
      </x:c>
      <x:c r="F128" s="12" t="n">
        <x:f>'01 Sensory Input'!F128</x:f>
        <x:v>0.18</x:v>
      </x:c>
      <x:c r="G128" s="12" t="n">
        <x:f>'01 Sensory Input'!G128</x:f>
        <x:v>0.68</x:v>
      </x:c>
      <x:c r="H128" t="n">
        <x:f>'02a n'!C128</x:f>
        <x:v>0</x:v>
      </x:c>
      <x:c r="I128" t="n">
        <x:f>'02a n'!D128</x:f>
        <x:v>0</x:v>
      </x:c>
      <x:c r="J128" t="n">
        <x:f>'02a n'!E128</x:f>
        <x:v>0</x:v>
      </x:c>
      <x:c r="K128" t="n">
        <x:f>'02a n'!F128</x:f>
        <x:v>0</x:v>
      </x:c>
      <x:c r="L128" t="n">
        <x:f>'02a n'!G128</x:f>
        <x:v>0</x:v>
      </x:c>
      <x:c r="M128" t="n">
        <x:f>'02b n^-1'!C128</x:f>
        <x:v>1</x:v>
      </x:c>
      <x:c r="N128" t="n">
        <x:f>'02b n^-1'!D128</x:f>
        <x:v>1</x:v>
      </x:c>
      <x:c r="O128" t="n">
        <x:f>'02b n^-1'!E128</x:f>
        <x:v>0</x:v>
      </x:c>
      <x:c r="P128" t="n">
        <x:f>'02b n^-1'!F128</x:f>
        <x:v>0</x:v>
      </x:c>
      <x:c r="Q128" t="n">
        <x:f>'02b n^-1'!G128</x:f>
        <x:v>1</x:v>
      </x:c>
      <x:c r="R128" t="n">
        <x:f>'02b n^-1'!H128</x:f>
        <x:v>1</x:v>
      </x:c>
      <x:c r="S128" s="12" t="n">
        <x:f>'02c n^-2'!C128</x:f>
        <x:v>0.6666666666666666</x:v>
      </x:c>
      <x:c r="T128" t="n">
        <x:f>'02c n^-2'!D128</x:f>
        <x:v>0</x:v>
      </x:c>
      <x:c r="U128" t="n">
        <x:f>'05 Gate Output'!H128</x:f>
        <x:v>0</x:v>
      </x:c>
      <x:c r="V128" t="n">
        <x:f>'05 Gate Output'!I128</x:f>
        <x:v>1</x:v>
      </x:c>
      <x:c r="W128" t="n">
        <x:f>'05 Gate Output'!J128</x:f>
        <x:v>1</x:v>
      </x:c>
      <x:c r="X128" t="n">
        <x:f>'05 Gate Output'!K128</x:f>
        <x:v>1</x:v>
      </x:c>
      <x:c r="Y128" t="n">
        <x:f>'05 Gate Output'!L128</x:f>
        <x:v>0</x:v>
      </x:c>
      <x:c r="Z128" t="n">
        <x:f>'05 Gate Output'!M128</x:f>
        <x:v>1</x:v>
      </x:c>
    </x:row>
    <x:row r="129">
      <x:c r="A129" t="n">
        <x:f>'01 Sensory Input'!A129</x:f>
        <x:v>7</x:v>
      </x:c>
      <x:c r="B129" t="n">
        <x:f>'01 Sensory Input'!B129</x:f>
        <x:v>4</x:v>
      </x:c>
      <x:c r="C129" s="12" t="n">
        <x:f>'01 Sensory Input'!C129</x:f>
        <x:v>0.82</x:v>
      </x:c>
      <x:c r="D129" s="12" t="n">
        <x:f>'01 Sensory Input'!D129</x:f>
        <x:v>0.75</x:v>
      </x:c>
      <x:c r="E129" s="12" t="n">
        <x:f>'01 Sensory Input'!E129</x:f>
        <x:v>0.65</x:v>
      </x:c>
      <x:c r="F129" s="12" t="n">
        <x:f>'01 Sensory Input'!F129</x:f>
        <x:v>0.18</x:v>
      </x:c>
      <x:c r="G129" s="12" t="n">
        <x:f>'01 Sensory Input'!G129</x:f>
        <x:v>0.16</x:v>
      </x:c>
      <x:c r="H129" t="n">
        <x:f>'02a n'!C129</x:f>
        <x:v>0</x:v>
      </x:c>
      <x:c r="I129" t="n">
        <x:f>'02a n'!D129</x:f>
        <x:v>0</x:v>
      </x:c>
      <x:c r="J129" t="n">
        <x:f>'02a n'!E129</x:f>
        <x:v>0</x:v>
      </x:c>
      <x:c r="K129" t="n">
        <x:f>'02a n'!F129</x:f>
        <x:v>0</x:v>
      </x:c>
      <x:c r="L129" t="n">
        <x:f>'02a n'!G129</x:f>
        <x:v>0</x:v>
      </x:c>
      <x:c r="M129" t="n">
        <x:f>'02b n^-1'!C129</x:f>
        <x:v>1</x:v>
      </x:c>
      <x:c r="N129" t="n">
        <x:f>'02b n^-1'!D129</x:f>
        <x:v>1</x:v>
      </x:c>
      <x:c r="O129" t="n">
        <x:f>'02b n^-1'!E129</x:f>
        <x:v>1</x:v>
      </x:c>
      <x:c r="P129" t="n">
        <x:f>'02b n^-1'!F129</x:f>
        <x:v>0</x:v>
      </x:c>
      <x:c r="Q129" t="n">
        <x:f>'02b n^-1'!G129</x:f>
        <x:v>1</x:v>
      </x:c>
      <x:c r="R129" t="n">
        <x:f>'02b n^-1'!H129</x:f>
        <x:v>1</x:v>
      </x:c>
      <x:c r="S129" s="12" t="n">
        <x:f>'02c n^-2'!C129</x:f>
        <x:v>0.8333333333333334</x:v>
      </x:c>
      <x:c r="T129" t="n">
        <x:f>'02c n^-2'!D129</x:f>
        <x:v>1</x:v>
      </x:c>
      <x:c r="U129" t="n">
        <x:f>'05 Gate Output'!H129</x:f>
        <x:v>0</x:v>
      </x:c>
      <x:c r="V129" t="n">
        <x:f>'05 Gate Output'!I129</x:f>
        <x:v>1</x:v>
      </x:c>
      <x:c r="W129" t="n">
        <x:f>'05 Gate Output'!J129</x:f>
        <x:v>1</x:v>
      </x:c>
      <x:c r="X129" t="n">
        <x:f>'05 Gate Output'!K129</x:f>
        <x:v>1</x:v>
      </x:c>
      <x:c r="Y129" t="n">
        <x:f>'05 Gate Output'!L129</x:f>
        <x:v>0</x:v>
      </x:c>
      <x:c r="Z129" t="n">
        <x:f>'05 Gate Output'!M129</x:f>
        <x:v>1</x:v>
      </x:c>
    </x:row>
    <x:row r="130">
      <x:c r="A130" t="n">
        <x:f>'01 Sensory Input'!A130</x:f>
        <x:v>7</x:v>
      </x:c>
      <x:c r="B130" t="n">
        <x:f>'01 Sensory Input'!B130</x:f>
        <x:v>5</x:v>
      </x:c>
      <x:c r="C130" s="12" t="n">
        <x:f>'01 Sensory Input'!C130</x:f>
        <x:v>0.3</x:v>
      </x:c>
      <x:c r="D130" s="12" t="n">
        <x:f>'01 Sensory Input'!D130</x:f>
        <x:v>0.22</x:v>
      </x:c>
      <x:c r="E130" s="12" t="n">
        <x:f>'01 Sensory Input'!E130</x:f>
        <x:v>0.65</x:v>
      </x:c>
      <x:c r="F130" s="12" t="n">
        <x:f>'01 Sensory Input'!F130</x:f>
        <x:v>0.55</x:v>
      </x:c>
      <x:c r="G130" s="12" t="n">
        <x:f>'01 Sensory Input'!G130</x:f>
        <x:v>0.16</x:v>
      </x:c>
      <x:c r="H130" t="n">
        <x:f>'02a n'!C130</x:f>
        <x:v>0</x:v>
      </x:c>
      <x:c r="I130" t="n">
        <x:f>'02a n'!D130</x:f>
        <x:v>0</x:v>
      </x:c>
      <x:c r="J130" t="n">
        <x:f>'02a n'!E130</x:f>
        <x:v>0</x:v>
      </x:c>
      <x:c r="K130" t="n">
        <x:f>'02a n'!F130</x:f>
        <x:v>0</x:v>
      </x:c>
      <x:c r="L130" t="n">
        <x:f>'02a n'!G130</x:f>
        <x:v>0</x:v>
      </x:c>
      <x:c r="M130" t="n">
        <x:f>'02b n^-1'!C130</x:f>
        <x:v>1</x:v>
      </x:c>
      <x:c r="N130" t="n">
        <x:f>'02b n^-1'!D130</x:f>
        <x:v>1</x:v>
      </x:c>
      <x:c r="O130" t="n">
        <x:f>'02b n^-1'!E130</x:f>
        <x:v>0</x:v>
      </x:c>
      <x:c r="P130" t="n">
        <x:f>'02b n^-1'!F130</x:f>
        <x:v>0</x:v>
      </x:c>
      <x:c r="Q130" t="n">
        <x:f>'02b n^-1'!G130</x:f>
        <x:v>0</x:v>
      </x:c>
      <x:c r="R130" t="n">
        <x:f>'02b n^-1'!H130</x:f>
        <x:v>1</x:v>
      </x:c>
      <x:c r="S130" s="12" t="n">
        <x:f>'02c n^-2'!C130</x:f>
        <x:v>0.5</x:v>
      </x:c>
      <x:c r="T130" t="n">
        <x:f>'02c n^-2'!D130</x:f>
        <x:v>1</x:v>
      </x:c>
      <x:c r="U130" t="n">
        <x:f>'05 Gate Output'!H130</x:f>
        <x:v>0</x:v>
      </x:c>
      <x:c r="V130" t="n">
        <x:f>'05 Gate Output'!I130</x:f>
        <x:v>1</x:v>
      </x:c>
      <x:c r="W130" t="n">
        <x:f>'05 Gate Output'!J130</x:f>
        <x:v>1</x:v>
      </x:c>
      <x:c r="X130" t="n">
        <x:f>'05 Gate Output'!K130</x:f>
        <x:v>1</x:v>
      </x:c>
      <x:c r="Y130" t="n">
        <x:f>'05 Gate Output'!L130</x:f>
        <x:v>0</x:v>
      </x:c>
      <x:c r="Z130" t="n">
        <x:f>'05 Gate Output'!M130</x:f>
        <x:v>1</x:v>
      </x:c>
    </x:row>
    <x:row r="131">
      <x:c r="A131" t="n">
        <x:f>'01 Sensory Input'!A131</x:f>
        <x:v>7</x:v>
      </x:c>
      <x:c r="B131" t="n">
        <x:f>'01 Sensory Input'!B131</x:f>
        <x:v>6</x:v>
      </x:c>
      <x:c r="C131" s="12" t="n">
        <x:f>'01 Sensory Input'!C131</x:f>
        <x:v>0.86</x:v>
      </x:c>
      <x:c r="D131" s="12" t="n">
        <x:f>'01 Sensory Input'!D131</x:f>
        <x:v>0.75</x:v>
      </x:c>
      <x:c r="E131" s="12" t="n">
        <x:f>'01 Sensory Input'!E131</x:f>
        <x:v>0.12</x:v>
      </x:c>
      <x:c r="F131" s="12" t="n">
        <x:f>'01 Sensory Input'!F131</x:f>
        <x:v>0.18</x:v>
      </x:c>
      <x:c r="G131" s="12" t="n">
        <x:f>'01 Sensory Input'!G131</x:f>
        <x:v>0.68</x:v>
      </x:c>
      <x:c r="H131" t="n">
        <x:f>'02a n'!C131</x:f>
        <x:v>0</x:v>
      </x:c>
      <x:c r="I131" t="n">
        <x:f>'02a n'!D131</x:f>
        <x:v>0</x:v>
      </x:c>
      <x:c r="J131" t="n">
        <x:f>'02a n'!E131</x:f>
        <x:v>0</x:v>
      </x:c>
      <x:c r="K131" t="n">
        <x:f>'02a n'!F131</x:f>
        <x:v>0</x:v>
      </x:c>
      <x:c r="L131" t="n">
        <x:f>'02a n'!G131</x:f>
        <x:v>0</x:v>
      </x:c>
      <x:c r="M131" t="n">
        <x:f>'02b n^-1'!C131</x:f>
        <x:v>1</x:v>
      </x:c>
      <x:c r="N131" t="n">
        <x:f>'02b n^-1'!D131</x:f>
        <x:v>1</x:v>
      </x:c>
      <x:c r="O131" t="n">
        <x:f>'02b n^-1'!E131</x:f>
        <x:v>1</x:v>
      </x:c>
      <x:c r="P131" t="n">
        <x:f>'02b n^-1'!F131</x:f>
        <x:v>0</x:v>
      </x:c>
      <x:c r="Q131" t="n">
        <x:f>'02b n^-1'!G131</x:f>
        <x:v>1</x:v>
      </x:c>
      <x:c r="R131" t="n">
        <x:f>'02b n^-1'!H131</x:f>
        <x:v>1</x:v>
      </x:c>
      <x:c r="S131" s="12" t="n">
        <x:f>'02c n^-2'!C131</x:f>
        <x:v>0.8333333333333334</x:v>
      </x:c>
      <x:c r="T131" t="n">
        <x:f>'02c n^-2'!D131</x:f>
        <x:v>1</x:v>
      </x:c>
      <x:c r="U131" t="n">
        <x:f>'05 Gate Output'!H131</x:f>
        <x:v>0</x:v>
      </x:c>
      <x:c r="V131" t="n">
        <x:f>'05 Gate Output'!I131</x:f>
        <x:v>1</x:v>
      </x:c>
      <x:c r="W131" t="n">
        <x:f>'05 Gate Output'!J131</x:f>
        <x:v>1</x:v>
      </x:c>
      <x:c r="X131" t="n">
        <x:f>'05 Gate Output'!K131</x:f>
        <x:v>1</x:v>
      </x:c>
      <x:c r="Y131" t="n">
        <x:f>'05 Gate Output'!L131</x:f>
        <x:v>0</x:v>
      </x:c>
      <x:c r="Z131" t="n">
        <x:f>'05 Gate Output'!M131</x:f>
        <x:v>1</x:v>
      </x:c>
    </x:row>
    <x:row r="132">
      <x:c r="A132" t="n">
        <x:f>'01 Sensory Input'!A132</x:f>
        <x:v>7</x:v>
      </x:c>
      <x:c r="B132" t="n">
        <x:f>'01 Sensory Input'!B132</x:f>
        <x:v>7</x:v>
      </x:c>
      <x:c r="C132" s="12" t="n">
        <x:f>'01 Sensory Input'!C132</x:f>
        <x:v>0.35</x:v>
      </x:c>
      <x:c r="D132" s="12" t="n">
        <x:f>'01 Sensory Input'!D132</x:f>
        <x:v>0.22</x:v>
      </x:c>
      <x:c r="E132" s="12" t="n">
        <x:f>'01 Sensory Input'!E132</x:f>
        <x:v>0.12</x:v>
      </x:c>
      <x:c r="F132" s="12" t="n">
        <x:f>'01 Sensory Input'!F132</x:f>
        <x:v>0.18</x:v>
      </x:c>
      <x:c r="G132" s="12" t="n">
        <x:f>'01 Sensory Input'!G132</x:f>
        <x:v>0.16</x:v>
      </x:c>
      <x:c r="H132" t="n">
        <x:f>'02a n'!C132</x:f>
        <x:v>0</x:v>
      </x:c>
      <x:c r="I132" t="n">
        <x:f>'02a n'!D132</x:f>
        <x:v>0</x:v>
      </x:c>
      <x:c r="J132" t="n">
        <x:f>'02a n'!E132</x:f>
        <x:v>0</x:v>
      </x:c>
      <x:c r="K132" t="n">
        <x:f>'02a n'!F132</x:f>
        <x:v>0</x:v>
      </x:c>
      <x:c r="L132" t="n">
        <x:f>'02a n'!G132</x:f>
        <x:v>0</x:v>
      </x:c>
      <x:c r="M132" t="n">
        <x:f>'02b n^-1'!C132</x:f>
        <x:v>1</x:v>
      </x:c>
      <x:c r="N132" t="n">
        <x:f>'02b n^-1'!D132</x:f>
        <x:v>1</x:v>
      </x:c>
      <x:c r="O132" t="n">
        <x:f>'02b n^-1'!E132</x:f>
        <x:v>0</x:v>
      </x:c>
      <x:c r="P132" t="n">
        <x:f>'02b n^-1'!F132</x:f>
        <x:v>0</x:v>
      </x:c>
      <x:c r="Q132" t="n">
        <x:f>'02b n^-1'!G132</x:f>
        <x:v>1</x:v>
      </x:c>
      <x:c r="R132" t="n">
        <x:f>'02b n^-1'!H132</x:f>
        <x:v>1</x:v>
      </x:c>
      <x:c r="S132" s="12" t="n">
        <x:f>'02c n^-2'!C132</x:f>
        <x:v>0.6666666666666666</x:v>
      </x:c>
      <x:c r="T132" t="n">
        <x:f>'02c n^-2'!D132</x:f>
        <x:v>1</x:v>
      </x:c>
      <x:c r="U132" t="n">
        <x:f>'05 Gate Output'!H132</x:f>
        <x:v>0</x:v>
      </x:c>
      <x:c r="V132" t="n">
        <x:f>'05 Gate Output'!I132</x:f>
        <x:v>1</x:v>
      </x:c>
      <x:c r="W132" t="n">
        <x:f>'05 Gate Output'!J132</x:f>
        <x:v>1</x:v>
      </x:c>
      <x:c r="X132" t="n">
        <x:f>'05 Gate Output'!K132</x:f>
        <x:v>1</x:v>
      </x:c>
      <x:c r="Y132" t="n">
        <x:f>'05 Gate Output'!L132</x:f>
        <x:v>0</x:v>
      </x:c>
      <x:c r="Z132" t="n">
        <x:f>'05 Gate Output'!M132</x:f>
        <x:v>1</x:v>
      </x:c>
    </x:row>
    <x:row r="133">
      <x:c r="A133" t="n">
        <x:f>'01 Sensory Input'!A133</x:f>
        <x:v>7</x:v>
      </x:c>
      <x:c r="B133" t="n">
        <x:f>'01 Sensory Input'!B133</x:f>
        <x:v>8</x:v>
      </x:c>
      <x:c r="C133" s="12" t="n">
        <x:f>'01 Sensory Input'!C133</x:f>
        <x:v>0.88</x:v>
      </x:c>
      <x:c r="D133" s="12" t="n">
        <x:f>'01 Sensory Input'!D133</x:f>
        <x:v>0.75</x:v>
      </x:c>
      <x:c r="E133" s="12" t="n">
        <x:f>'01 Sensory Input'!E133</x:f>
        <x:v>0.65</x:v>
      </x:c>
      <x:c r="F133" s="12" t="n">
        <x:f>'01 Sensory Input'!F133</x:f>
        <x:v>0.18</x:v>
      </x:c>
      <x:c r="G133" s="12" t="n">
        <x:f>'01 Sensory Input'!G133</x:f>
        <x:v>0.16</x:v>
      </x:c>
      <x:c r="H133" t="n">
        <x:f>'02a n'!C133</x:f>
        <x:v>0</x:v>
      </x:c>
      <x:c r="I133" t="n">
        <x:f>'02a n'!D133</x:f>
        <x:v>0</x:v>
      </x:c>
      <x:c r="J133" t="n">
        <x:f>'02a n'!E133</x:f>
        <x:v>0</x:v>
      </x:c>
      <x:c r="K133" t="n">
        <x:f>'02a n'!F133</x:f>
        <x:v>0</x:v>
      </x:c>
      <x:c r="L133" t="n">
        <x:f>'02a n'!G133</x:f>
        <x:v>0</x:v>
      </x:c>
      <x:c r="M133" t="n">
        <x:f>'02b n^-1'!C133</x:f>
        <x:v>1</x:v>
      </x:c>
      <x:c r="N133" t="n">
        <x:f>'02b n^-1'!D133</x:f>
        <x:v>1</x:v>
      </x:c>
      <x:c r="O133" t="n">
        <x:f>'02b n^-1'!E133</x:f>
        <x:v>1</x:v>
      </x:c>
      <x:c r="P133" t="n">
        <x:f>'02b n^-1'!F133</x:f>
        <x:v>0</x:v>
      </x:c>
      <x:c r="Q133" t="n">
        <x:f>'02b n^-1'!G133</x:f>
        <x:v>0</x:v>
      </x:c>
      <x:c r="R133" t="n">
        <x:f>'02b n^-1'!H133</x:f>
        <x:v>1</x:v>
      </x:c>
      <x:c r="S133" s="12" t="n">
        <x:f>'02c n^-2'!C133</x:f>
        <x:v>0.6666666666666666</x:v>
      </x:c>
      <x:c r="T133" t="n">
        <x:f>'02c n^-2'!D133</x:f>
        <x:v>0</x:v>
      </x:c>
      <x:c r="U133" t="n">
        <x:f>'05 Gate Output'!H133</x:f>
        <x:v>0</x:v>
      </x:c>
      <x:c r="V133" t="n">
        <x:f>'05 Gate Output'!I133</x:f>
        <x:v>1</x:v>
      </x:c>
      <x:c r="W133" t="n">
        <x:f>'05 Gate Output'!J133</x:f>
        <x:v>1</x:v>
      </x:c>
      <x:c r="X133" t="n">
        <x:f>'05 Gate Output'!K133</x:f>
        <x:v>1</x:v>
      </x:c>
      <x:c r="Y133" t="n">
        <x:f>'05 Gate Output'!L133</x:f>
        <x:v>0</x:v>
      </x:c>
      <x:c r="Z133" t="n">
        <x:f>'05 Gate Output'!M133</x:f>
        <x:v>1</x:v>
      </x:c>
    </x:row>
    <x:row r="134">
      <x:c r="A134" t="n">
        <x:f>'01 Sensory Input'!A134</x:f>
        <x:v>7</x:v>
      </x:c>
      <x:c r="B134" t="n">
        <x:f>'01 Sensory Input'!B134</x:f>
        <x:v>9</x:v>
      </x:c>
      <x:c r="C134" s="12" t="n">
        <x:f>'01 Sensory Input'!C134</x:f>
        <x:v>0.4</x:v>
      </x:c>
      <x:c r="D134" s="12" t="n">
        <x:f>'01 Sensory Input'!D134</x:f>
        <x:v>0.22</x:v>
      </x:c>
      <x:c r="E134" s="12" t="n">
        <x:f>'01 Sensory Input'!E134</x:f>
        <x:v>0.65</x:v>
      </x:c>
      <x:c r="F134" s="12" t="n">
        <x:f>'01 Sensory Input'!F134</x:f>
        <x:v>0.18</x:v>
      </x:c>
      <x:c r="G134" s="12" t="n">
        <x:f>'01 Sensory Input'!G134</x:f>
        <x:v>0.68</x:v>
      </x:c>
      <x:c r="H134" t="n">
        <x:f>'02a n'!C134</x:f>
        <x:v>0</x:v>
      </x:c>
      <x:c r="I134" t="n">
        <x:f>'02a n'!D134</x:f>
        <x:v>0</x:v>
      </x:c>
      <x:c r="J134" t="n">
        <x:f>'02a n'!E134</x:f>
        <x:v>0</x:v>
      </x:c>
      <x:c r="K134" t="n">
        <x:f>'02a n'!F134</x:f>
        <x:v>0</x:v>
      </x:c>
      <x:c r="L134" t="n">
        <x:f>'02a n'!G134</x:f>
        <x:v>0</x:v>
      </x:c>
      <x:c r="M134" t="n">
        <x:f>'02b n^-1'!C134</x:f>
        <x:v>0</x:v>
      </x:c>
      <x:c r="N134" t="n">
        <x:f>'02b n^-1'!D134</x:f>
        <x:v>1</x:v>
      </x:c>
      <x:c r="O134" t="n">
        <x:f>'02b n^-1'!E134</x:f>
        <x:v>0</x:v>
      </x:c>
      <x:c r="P134" t="n">
        <x:f>'02b n^-1'!F134</x:f>
        <x:v>0</x:v>
      </x:c>
      <x:c r="Q134" t="n">
        <x:f>'02b n^-1'!G134</x:f>
        <x:v>1</x:v>
      </x:c>
      <x:c r="R134" t="n">
        <x:f>'02b n^-1'!H134</x:f>
        <x:v>1</x:v>
      </x:c>
      <x:c r="S134" s="12" t="n">
        <x:f>'02c n^-2'!C134</x:f>
        <x:v>0.5</x:v>
      </x:c>
      <x:c r="T134" t="n">
        <x:f>'02c n^-2'!D134</x:f>
        <x:v>1</x:v>
      </x:c>
      <x:c r="U134" t="n">
        <x:f>'05 Gate Output'!H134</x:f>
        <x:v>0</x:v>
      </x:c>
      <x:c r="V134" t="n">
        <x:f>'05 Gate Output'!I134</x:f>
        <x:v>1</x:v>
      </x:c>
      <x:c r="W134" t="n">
        <x:f>'05 Gate Output'!J134</x:f>
        <x:v>1</x:v>
      </x:c>
      <x:c r="X134" t="n">
        <x:f>'05 Gate Output'!K134</x:f>
        <x:v>1</x:v>
      </x:c>
      <x:c r="Y134" t="n">
        <x:f>'05 Gate Output'!L134</x:f>
        <x:v>0</x:v>
      </x:c>
      <x:c r="Z134" t="n">
        <x:f>'05 Gate Output'!M134</x:f>
        <x:v>1</x:v>
      </x:c>
    </x:row>
    <x:row r="135">
      <x:c r="A135" t="n">
        <x:f>'01 Sensory Input'!A135</x:f>
        <x:v>7</x:v>
      </x:c>
      <x:c r="B135" t="n">
        <x:f>'01 Sensory Input'!B135</x:f>
        <x:v>10</x:v>
      </x:c>
      <x:c r="C135" s="12" t="n">
        <x:f>'01 Sensory Input'!C135</x:f>
        <x:v>0.9</x:v>
      </x:c>
      <x:c r="D135" s="12" t="n">
        <x:f>'01 Sensory Input'!D135</x:f>
        <x:v>0.75</x:v>
      </x:c>
      <x:c r="E135" s="12" t="n">
        <x:f>'01 Sensory Input'!E135</x:f>
        <x:v>0.12</x:v>
      </x:c>
      <x:c r="F135" s="12" t="n">
        <x:f>'01 Sensory Input'!F135</x:f>
        <x:v>0.55</x:v>
      </x:c>
      <x:c r="G135" s="12" t="n">
        <x:f>'01 Sensory Input'!G135</x:f>
        <x:v>0.16</x:v>
      </x:c>
      <x:c r="H135" t="n">
        <x:f>'02a n'!C135</x:f>
        <x:v>0</x:v>
      </x:c>
      <x:c r="I135" t="n">
        <x:f>'02a n'!D135</x:f>
        <x:v>0</x:v>
      </x:c>
      <x:c r="J135" t="n">
        <x:f>'02a n'!E135</x:f>
        <x:v>0</x:v>
      </x:c>
      <x:c r="K135" t="n">
        <x:f>'02a n'!F135</x:f>
        <x:v>0</x:v>
      </x:c>
      <x:c r="L135" t="n">
        <x:f>'02a n'!G135</x:f>
        <x:v>0</x:v>
      </x:c>
      <x:c r="M135" t="n">
        <x:f>'02b n^-1'!C135</x:f>
        <x:v>1</x:v>
      </x:c>
      <x:c r="N135" t="n">
        <x:f>'02b n^-1'!D135</x:f>
        <x:v>1</x:v>
      </x:c>
      <x:c r="O135" t="n">
        <x:f>'02b n^-1'!E135</x:f>
        <x:v>1</x:v>
      </x:c>
      <x:c r="P135" t="n">
        <x:f>'02b n^-1'!F135</x:f>
        <x:v>0</x:v>
      </x:c>
      <x:c r="Q135" t="n">
        <x:f>'02b n^-1'!G135</x:f>
        <x:v>1</x:v>
      </x:c>
      <x:c r="R135" t="n">
        <x:f>'02b n^-1'!H135</x:f>
        <x:v>1</x:v>
      </x:c>
      <x:c r="S135" s="12" t="n">
        <x:f>'02c n^-2'!C135</x:f>
        <x:v>0.8333333333333334</x:v>
      </x:c>
      <x:c r="T135" t="n">
        <x:f>'02c n^-2'!D135</x:f>
        <x:v>1</x:v>
      </x:c>
      <x:c r="U135" t="n">
        <x:f>'05 Gate Output'!H135</x:f>
        <x:v>0</x:v>
      </x:c>
      <x:c r="V135" t="n">
        <x:f>'05 Gate Output'!I135</x:f>
        <x:v>1</x:v>
      </x:c>
      <x:c r="W135" t="n">
        <x:f>'05 Gate Output'!J135</x:f>
        <x:v>1</x:v>
      </x:c>
      <x:c r="X135" t="n">
        <x:f>'05 Gate Output'!K135</x:f>
        <x:v>1</x:v>
      </x:c>
      <x:c r="Y135" t="n">
        <x:f>'05 Gate Output'!L135</x:f>
        <x:v>0</x:v>
      </x:c>
      <x:c r="Z135" t="n">
        <x:f>'05 Gate Output'!M135</x:f>
        <x:v>1</x:v>
      </x:c>
    </x:row>
    <x:row r="136">
      <x:c r="A136" t="n">
        <x:f>'01 Sensory Input'!A136</x:f>
        <x:v>7</x:v>
      </x:c>
      <x:c r="B136" t="n">
        <x:f>'01 Sensory Input'!B136</x:f>
        <x:v>11</x:v>
      </x:c>
      <x:c r="C136" s="12" t="n">
        <x:f>'01 Sensory Input'!C136</x:f>
        <x:v>0.38</x:v>
      </x:c>
      <x:c r="D136" s="12" t="n">
        <x:f>'01 Sensory Input'!D136</x:f>
        <x:v>0.22</x:v>
      </x:c>
      <x:c r="E136" s="12" t="n">
        <x:f>'01 Sensory Input'!E136</x:f>
        <x:v>0.12</x:v>
      </x:c>
      <x:c r="F136" s="12" t="n">
        <x:f>'01 Sensory Input'!F136</x:f>
        <x:v>0.18</x:v>
      </x:c>
      <x:c r="G136" s="12" t="n">
        <x:f>'01 Sensory Input'!G136</x:f>
        <x:v>0.16</x:v>
      </x:c>
      <x:c r="H136" t="n">
        <x:f>'02a n'!C136</x:f>
        <x:v>0</x:v>
      </x:c>
      <x:c r="I136" t="n">
        <x:f>'02a n'!D136</x:f>
        <x:v>0</x:v>
      </x:c>
      <x:c r="J136" t="n">
        <x:f>'02a n'!E136</x:f>
        <x:v>0</x:v>
      </x:c>
      <x:c r="K136" t="n">
        <x:f>'02a n'!F136</x:f>
        <x:v>0</x:v>
      </x:c>
      <x:c r="L136" t="n">
        <x:f>'02a n'!G136</x:f>
        <x:v>0</x:v>
      </x:c>
      <x:c r="M136" t="n">
        <x:f>'02b n^-1'!C136</x:f>
        <x:v>1</x:v>
      </x:c>
      <x:c r="N136" t="n">
        <x:f>'02b n^-1'!D136</x:f>
        <x:v>1</x:v>
      </x:c>
      <x:c r="O136" t="n">
        <x:f>'02b n^-1'!E136</x:f>
        <x:v>0</x:v>
      </x:c>
      <x:c r="P136" t="n">
        <x:f>'02b n^-1'!F136</x:f>
        <x:v>0</x:v>
      </x:c>
      <x:c r="Q136" t="n">
        <x:f>'02b n^-1'!G136</x:f>
        <x:v>0</x:v>
      </x:c>
      <x:c r="R136" t="n">
        <x:f>'02b n^-1'!H136</x:f>
        <x:v>1</x:v>
      </x:c>
      <x:c r="S136" s="12" t="n">
        <x:f>'02c n^-2'!C136</x:f>
        <x:v>0.5</x:v>
      </x:c>
      <x:c r="T136" t="n">
        <x:f>'02c n^-2'!D136</x:f>
        <x:v>1</x:v>
      </x:c>
      <x:c r="U136" t="n">
        <x:f>'05 Gate Output'!H136</x:f>
        <x:v>0</x:v>
      </x:c>
      <x:c r="V136" t="n">
        <x:f>'05 Gate Output'!I136</x:f>
        <x:v>1</x:v>
      </x:c>
      <x:c r="W136" t="n">
        <x:f>'05 Gate Output'!J136</x:f>
        <x:v>1</x:v>
      </x:c>
      <x:c r="X136" t="n">
        <x:f>'05 Gate Output'!K136</x:f>
        <x:v>1</x:v>
      </x:c>
      <x:c r="Y136" t="n">
        <x:f>'05 Gate Output'!L136</x:f>
        <x:v>0</x:v>
      </x:c>
      <x:c r="Z136" t="n">
        <x:f>'05 Gate Output'!M136</x:f>
        <x:v>1</x:v>
      </x:c>
    </x:row>
    <x:row r="137">
      <x:c r="A137" t="n">
        <x:f>'01 Sensory Input'!A137</x:f>
        <x:v>7</x:v>
      </x:c>
      <x:c r="B137" t="n">
        <x:f>'01 Sensory Input'!B137</x:f>
        <x:v>12</x:v>
      </x:c>
      <x:c r="C137" s="12" t="n">
        <x:f>'01 Sensory Input'!C137</x:f>
        <x:v>0.84</x:v>
      </x:c>
      <x:c r="D137" s="12" t="n">
        <x:f>'01 Sensory Input'!D137</x:f>
        <x:v>0.75</x:v>
      </x:c>
      <x:c r="E137" s="12" t="n">
        <x:f>'01 Sensory Input'!E137</x:f>
        <x:v>0.65</x:v>
      </x:c>
      <x:c r="F137" s="12" t="n">
        <x:f>'01 Sensory Input'!F137</x:f>
        <x:v>0.18</x:v>
      </x:c>
      <x:c r="G137" s="12" t="n">
        <x:f>'01 Sensory Input'!G137</x:f>
        <x:v>0.68</x:v>
      </x:c>
      <x:c r="H137" t="n">
        <x:f>'02a n'!C137</x:f>
        <x:v>0</x:v>
      </x:c>
      <x:c r="I137" t="n">
        <x:f>'02a n'!D137</x:f>
        <x:v>0</x:v>
      </x:c>
      <x:c r="J137" t="n">
        <x:f>'02a n'!E137</x:f>
        <x:v>0</x:v>
      </x:c>
      <x:c r="K137" t="n">
        <x:f>'02a n'!F137</x:f>
        <x:v>0</x:v>
      </x:c>
      <x:c r="L137" t="n">
        <x:f>'02a n'!G137</x:f>
        <x:v>0</x:v>
      </x:c>
      <x:c r="M137" t="n">
        <x:f>'02b n^-1'!C137</x:f>
        <x:v>0</x:v>
      </x:c>
      <x:c r="N137" t="n">
        <x:f>'02b n^-1'!D137</x:f>
        <x:v>1</x:v>
      </x:c>
      <x:c r="O137" t="n">
        <x:f>'02b n^-1'!E137</x:f>
        <x:v>1</x:v>
      </x:c>
      <x:c r="P137" t="n">
        <x:f>'02b n^-1'!F137</x:f>
        <x:v>0</x:v>
      </x:c>
      <x:c r="Q137" t="n">
        <x:f>'02b n^-1'!G137</x:f>
        <x:v>1</x:v>
      </x:c>
      <x:c r="R137" t="n">
        <x:f>'02b n^-1'!H137</x:f>
        <x:v>1</x:v>
      </x:c>
      <x:c r="S137" s="12" t="n">
        <x:f>'02c n^-2'!C137</x:f>
        <x:v>0.6666666666666666</x:v>
      </x:c>
      <x:c r="T137" t="n">
        <x:f>'02c n^-2'!D137</x:f>
        <x:v>1</x:v>
      </x:c>
      <x:c r="U137" t="n">
        <x:f>'05 Gate Output'!H137</x:f>
        <x:v>0</x:v>
      </x:c>
      <x:c r="V137" t="n">
        <x:f>'05 Gate Output'!I137</x:f>
        <x:v>1</x:v>
      </x:c>
      <x:c r="W137" t="n">
        <x:f>'05 Gate Output'!J137</x:f>
        <x:v>1</x:v>
      </x:c>
      <x:c r="X137" t="n">
        <x:f>'05 Gate Output'!K137</x:f>
        <x:v>1</x:v>
      </x:c>
      <x:c r="Y137" t="n">
        <x:f>'05 Gate Output'!L137</x:f>
        <x:v>0</x:v>
      </x:c>
      <x:c r="Z137" t="n">
        <x:f>'05 Gate Output'!M137</x:f>
        <x:v>1</x:v>
      </x:c>
    </x:row>
    <x:row r="138">
      <x:c r="A138" t="n">
        <x:f>'01 Sensory Input'!A138</x:f>
        <x:v>7</x:v>
      </x:c>
      <x:c r="B138" t="n">
        <x:f>'01 Sensory Input'!B138</x:f>
        <x:v>13</x:v>
      </x:c>
      <x:c r="C138" s="12" t="n">
        <x:f>'01 Sensory Input'!C138</x:f>
        <x:v>0.32</x:v>
      </x:c>
      <x:c r="D138" s="12" t="n">
        <x:f>'01 Sensory Input'!D138</x:f>
        <x:v>0.22</x:v>
      </x:c>
      <x:c r="E138" s="12" t="n">
        <x:f>'01 Sensory Input'!E138</x:f>
        <x:v>0.65</x:v>
      </x:c>
      <x:c r="F138" s="12" t="n">
        <x:f>'01 Sensory Input'!F138</x:f>
        <x:v>0.18</x:v>
      </x:c>
      <x:c r="G138" s="12" t="n">
        <x:f>'01 Sensory Input'!G138</x:f>
        <x:v>0.16</x:v>
      </x:c>
      <x:c r="H138" t="n">
        <x:f>'02a n'!C138</x:f>
        <x:v>0</x:v>
      </x:c>
      <x:c r="I138" t="n">
        <x:f>'02a n'!D138</x:f>
        <x:v>0</x:v>
      </x:c>
      <x:c r="J138" t="n">
        <x:f>'02a n'!E138</x:f>
        <x:v>0</x:v>
      </x:c>
      <x:c r="K138" t="n">
        <x:f>'02a n'!F138</x:f>
        <x:v>0</x:v>
      </x:c>
      <x:c r="L138" t="n">
        <x:f>'02a n'!G138</x:f>
        <x:v>0</x:v>
      </x:c>
      <x:c r="M138" t="n">
        <x:f>'02b n^-1'!C138</x:f>
        <x:v>1</x:v>
      </x:c>
      <x:c r="N138" t="n">
        <x:f>'02b n^-1'!D138</x:f>
        <x:v>1</x:v>
      </x:c>
      <x:c r="O138" t="n">
        <x:f>'02b n^-1'!E138</x:f>
        <x:v>0</x:v>
      </x:c>
      <x:c r="P138" t="n">
        <x:f>'02b n^-1'!F138</x:f>
        <x:v>0</x:v>
      </x:c>
      <x:c r="Q138" t="n">
        <x:f>'02b n^-1'!G138</x:f>
        <x:v>1</x:v>
      </x:c>
      <x:c r="R138" t="n">
        <x:f>'02b n^-1'!H138</x:f>
        <x:v>1</x:v>
      </x:c>
      <x:c r="S138" s="12" t="n">
        <x:f>'02c n^-2'!C138</x:f>
        <x:v>0.6666666666666666</x:v>
      </x:c>
      <x:c r="T138" t="n">
        <x:f>'02c n^-2'!D138</x:f>
        <x:v>0</x:v>
      </x:c>
      <x:c r="U138" t="n">
        <x:f>'05 Gate Output'!H138</x:f>
        <x:v>0</x:v>
      </x:c>
      <x:c r="V138" t="n">
        <x:f>'05 Gate Output'!I138</x:f>
        <x:v>1</x:v>
      </x:c>
      <x:c r="W138" t="n">
        <x:f>'05 Gate Output'!J138</x:f>
        <x:v>1</x:v>
      </x:c>
      <x:c r="X138" t="n">
        <x:f>'05 Gate Output'!K138</x:f>
        <x:v>1</x:v>
      </x:c>
      <x:c r="Y138" t="n">
        <x:f>'05 Gate Output'!L138</x:f>
        <x:v>0</x:v>
      </x:c>
      <x:c r="Z138" t="n">
        <x:f>'05 Gate Output'!M138</x:f>
        <x:v>1</x:v>
      </x:c>
    </x:row>
    <x:row r="139">
      <x:c r="A139" t="n">
        <x:f>'01 Sensory Input'!A139</x:f>
        <x:v>7</x:v>
      </x:c>
      <x:c r="B139" t="n">
        <x:f>'01 Sensory Input'!B139</x:f>
        <x:v>14</x:v>
      </x:c>
      <x:c r="C139" s="12" t="n">
        <x:f>'01 Sensory Input'!C139</x:f>
        <x:v>0.8</x:v>
      </x:c>
      <x:c r="D139" s="12" t="n">
        <x:f>'01 Sensory Input'!D139</x:f>
        <x:v>0.75</x:v>
      </x:c>
      <x:c r="E139" s="12" t="n">
        <x:f>'01 Sensory Input'!E139</x:f>
        <x:v>0.12</x:v>
      </x:c>
      <x:c r="F139" s="12" t="n">
        <x:f>'01 Sensory Input'!F139</x:f>
        <x:v>0.18</x:v>
      </x:c>
      <x:c r="G139" s="12" t="n">
        <x:f>'01 Sensory Input'!G139</x:f>
        <x:v>0.16</x:v>
      </x:c>
      <x:c r="H139" t="n">
        <x:f>'02a n'!C139</x:f>
        <x:v>0</x:v>
      </x:c>
      <x:c r="I139" t="n">
        <x:f>'02a n'!D139</x:f>
        <x:v>0</x:v>
      </x:c>
      <x:c r="J139" t="n">
        <x:f>'02a n'!E139</x:f>
        <x:v>0</x:v>
      </x:c>
      <x:c r="K139" t="n">
        <x:f>'02a n'!F139</x:f>
        <x:v>0</x:v>
      </x:c>
      <x:c r="L139" t="n">
        <x:f>'02a n'!G139</x:f>
        <x:v>0</x:v>
      </x:c>
      <x:c r="M139" t="n">
        <x:f>'02b n^-1'!C139</x:f>
        <x:v>0</x:v>
      </x:c>
      <x:c r="N139" t="n">
        <x:f>'02b n^-1'!D139</x:f>
        <x:v>1</x:v>
      </x:c>
      <x:c r="O139" t="n">
        <x:f>'02b n^-1'!E139</x:f>
        <x:v>1</x:v>
      </x:c>
      <x:c r="P139" t="n">
        <x:f>'02b n^-1'!F139</x:f>
        <x:v>0</x:v>
      </x:c>
      <x:c r="Q139" t="n">
        <x:f>'02b n^-1'!G139</x:f>
        <x:v>0</x:v>
      </x:c>
      <x:c r="R139" t="n">
        <x:f>'02b n^-1'!H139</x:f>
        <x:v>1</x:v>
      </x:c>
      <x:c r="S139" s="12" t="n">
        <x:f>'02c n^-2'!C139</x:f>
        <x:v>0.5</x:v>
      </x:c>
      <x:c r="T139" t="n">
        <x:f>'02c n^-2'!D139</x:f>
        <x:v>1</x:v>
      </x:c>
      <x:c r="U139" t="n">
        <x:f>'05 Gate Output'!H139</x:f>
        <x:v>0</x:v>
      </x:c>
      <x:c r="V139" t="n">
        <x:f>'05 Gate Output'!I139</x:f>
        <x:v>1</x:v>
      </x:c>
      <x:c r="W139" t="n">
        <x:f>'05 Gate Output'!J139</x:f>
        <x:v>1</x:v>
      </x:c>
      <x:c r="X139" t="n">
        <x:f>'05 Gate Output'!K139</x:f>
        <x:v>1</x:v>
      </x:c>
      <x:c r="Y139" t="n">
        <x:f>'05 Gate Output'!L139</x:f>
        <x:v>0</x:v>
      </x:c>
      <x:c r="Z139" t="n">
        <x:f>'05 Gate Output'!M139</x:f>
        <x:v>1</x:v>
      </x:c>
    </x:row>
    <x:row r="140">
      <x:c r="A140" t="n">
        <x:f>'01 Sensory Input'!A140</x:f>
        <x:v>7</x:v>
      </x:c>
      <x:c r="B140" t="n">
        <x:f>'01 Sensory Input'!B140</x:f>
        <x:v>15</x:v>
      </x:c>
      <x:c r="C140" s="12" t="n">
        <x:f>'01 Sensory Input'!C140</x:f>
        <x:v>0.28</x:v>
      </x:c>
      <x:c r="D140" s="12" t="n">
        <x:f>'01 Sensory Input'!D140</x:f>
        <x:v>0.22</x:v>
      </x:c>
      <x:c r="E140" s="12" t="n">
        <x:f>'01 Sensory Input'!E140</x:f>
        <x:v>0.12</x:v>
      </x:c>
      <x:c r="F140" s="12" t="n">
        <x:f>'01 Sensory Input'!F140</x:f>
        <x:v>0.55</x:v>
      </x:c>
      <x:c r="G140" s="12" t="n">
        <x:f>'01 Sensory Input'!G140</x:f>
        <x:v>0.68</x:v>
      </x:c>
      <x:c r="H140" t="n">
        <x:f>'02a n'!C140</x:f>
        <x:v>0</x:v>
      </x:c>
      <x:c r="I140" t="n">
        <x:f>'02a n'!D140</x:f>
        <x:v>0</x:v>
      </x:c>
      <x:c r="J140" t="n">
        <x:f>'02a n'!E140</x:f>
        <x:v>0</x:v>
      </x:c>
      <x:c r="K140" t="n">
        <x:f>'02a n'!F140</x:f>
        <x:v>0</x:v>
      </x:c>
      <x:c r="L140" t="n">
        <x:f>'02a n'!G140</x:f>
        <x:v>0</x:v>
      </x:c>
      <x:c r="M140" t="n">
        <x:f>'02b n^-1'!C140</x:f>
        <x:v>1</x:v>
      </x:c>
      <x:c r="N140" t="n">
        <x:f>'02b n^-1'!D140</x:f>
        <x:v>1</x:v>
      </x:c>
      <x:c r="O140" t="n">
        <x:f>'02b n^-1'!E140</x:f>
        <x:v>0</x:v>
      </x:c>
      <x:c r="P140" t="n">
        <x:f>'02b n^-1'!F140</x:f>
        <x:v>0</x:v>
      </x:c>
      <x:c r="Q140" t="n">
        <x:f>'02b n^-1'!G140</x:f>
        <x:v>1</x:v>
      </x:c>
      <x:c r="R140" t="n">
        <x:f>'02b n^-1'!H140</x:f>
        <x:v>1</x:v>
      </x:c>
      <x:c r="S140" s="12" t="n">
        <x:f>'02c n^-2'!C140</x:f>
        <x:v>0.6666666666666666</x:v>
      </x:c>
      <x:c r="T140" t="n">
        <x:f>'02c n^-2'!D140</x:f>
        <x:v>1</x:v>
      </x:c>
      <x:c r="U140" t="n">
        <x:f>'05 Gate Output'!H140</x:f>
        <x:v>0</x:v>
      </x:c>
      <x:c r="V140" t="n">
        <x:f>'05 Gate Output'!I140</x:f>
        <x:v>1</x:v>
      </x:c>
      <x:c r="W140" t="n">
        <x:f>'05 Gate Output'!J140</x:f>
        <x:v>1</x:v>
      </x:c>
      <x:c r="X140" t="n">
        <x:f>'05 Gate Output'!K140</x:f>
        <x:v>1</x:v>
      </x:c>
      <x:c r="Y140" t="n">
        <x:f>'05 Gate Output'!L140</x:f>
        <x:v>0</x:v>
      </x:c>
      <x:c r="Z140" t="n">
        <x:f>'05 Gate Output'!M140</x:f>
        <x:v>1</x:v>
      </x:c>
    </x:row>
    <x:row r="141">
      <x:c r="A141" t="n">
        <x:f>'01 Sensory Input'!A141</x:f>
        <x:v>7</x:v>
      </x:c>
      <x:c r="B141" t="n">
        <x:f>'01 Sensory Input'!B141</x:f>
        <x:v>16</x:v>
      </x:c>
      <x:c r="C141" s="12" t="n">
        <x:f>'01 Sensory Input'!C141</x:f>
        <x:v>0.76</x:v>
      </x:c>
      <x:c r="D141" s="12" t="n">
        <x:f>'01 Sensory Input'!D141</x:f>
        <x:v>0.75</x:v>
      </x:c>
      <x:c r="E141" s="12" t="n">
        <x:f>'01 Sensory Input'!E141</x:f>
        <x:v>0.65</x:v>
      </x:c>
      <x:c r="F141" s="12" t="n">
        <x:f>'01 Sensory Input'!F141</x:f>
        <x:v>0.18</x:v>
      </x:c>
      <x:c r="G141" s="12" t="n">
        <x:f>'01 Sensory Input'!G141</x:f>
        <x:v>0.16</x:v>
      </x:c>
      <x:c r="H141" t="n">
        <x:f>'02a n'!C141</x:f>
        <x:v>0</x:v>
      </x:c>
      <x:c r="I141" t="n">
        <x:f>'02a n'!D141</x:f>
        <x:v>0</x:v>
      </x:c>
      <x:c r="J141" t="n">
        <x:f>'02a n'!E141</x:f>
        <x:v>0</x:v>
      </x:c>
      <x:c r="K141" t="n">
        <x:f>'02a n'!F141</x:f>
        <x:v>0</x:v>
      </x:c>
      <x:c r="L141" t="n">
        <x:f>'02a n'!G141</x:f>
        <x:v>0</x:v>
      </x:c>
      <x:c r="M141" t="n">
        <x:f>'02b n^-1'!C141</x:f>
        <x:v>0</x:v>
      </x:c>
      <x:c r="N141" t="n">
        <x:f>'02b n^-1'!D141</x:f>
        <x:v>1</x:v>
      </x:c>
      <x:c r="O141" t="n">
        <x:f>'02b n^-1'!E141</x:f>
        <x:v>1</x:v>
      </x:c>
      <x:c r="P141" t="n">
        <x:f>'02b n^-1'!F141</x:f>
        <x:v>0</x:v>
      </x:c>
      <x:c r="Q141" t="n">
        <x:f>'02b n^-1'!G141</x:f>
        <x:v>1</x:v>
      </x:c>
      <x:c r="R141" t="n">
        <x:f>'02b n^-1'!H141</x:f>
        <x:v>1</x:v>
      </x:c>
      <x:c r="S141" s="12" t="n">
        <x:f>'02c n^-2'!C141</x:f>
        <x:v>0.6666666666666666</x:v>
      </x:c>
      <x:c r="T141" t="n">
        <x:f>'02c n^-2'!D141</x:f>
        <x:v>0</x:v>
      </x:c>
      <x:c r="U141" t="n">
        <x:f>'05 Gate Output'!H141</x:f>
        <x:v>0</x:v>
      </x:c>
      <x:c r="V141" t="n">
        <x:f>'05 Gate Output'!I141</x:f>
        <x:v>1</x:v>
      </x:c>
      <x:c r="W141" t="n">
        <x:f>'05 Gate Output'!J141</x:f>
        <x:v>1</x:v>
      </x:c>
      <x:c r="X141" t="n">
        <x:f>'05 Gate Output'!K141</x:f>
        <x:v>1</x:v>
      </x:c>
      <x:c r="Y141" t="n">
        <x:f>'05 Gate Output'!L141</x:f>
        <x:v>0</x:v>
      </x:c>
      <x:c r="Z141" t="n">
        <x:f>'05 Gate Output'!M141</x:f>
        <x:v>1</x:v>
      </x:c>
    </x:row>
    <x:row r="142">
      <x:c r="A142" t="n">
        <x:f>'01 Sensory Input'!A142</x:f>
        <x:v>7</x:v>
      </x:c>
      <x:c r="B142" t="n">
        <x:f>'01 Sensory Input'!B142</x:f>
        <x:v>17</x:v>
      </x:c>
      <x:c r="C142" s="12" t="n">
        <x:f>'01 Sensory Input'!C142</x:f>
        <x:v>0.24</x:v>
      </x:c>
      <x:c r="D142" s="12" t="n">
        <x:f>'01 Sensory Input'!D142</x:f>
        <x:v>0.22</x:v>
      </x:c>
      <x:c r="E142" s="12" t="n">
        <x:f>'01 Sensory Input'!E142</x:f>
        <x:v>0.65</x:v>
      </x:c>
      <x:c r="F142" s="12" t="n">
        <x:f>'01 Sensory Input'!F142</x:f>
        <x:v>0.18</x:v>
      </x:c>
      <x:c r="G142" s="12" t="n">
        <x:f>'01 Sensory Input'!G142</x:f>
        <x:v>0.16</x:v>
      </x:c>
      <x:c r="H142" t="n">
        <x:f>'02a n'!C142</x:f>
        <x:v>0</x:v>
      </x:c>
      <x:c r="I142" t="n">
        <x:f>'02a n'!D142</x:f>
        <x:v>0</x:v>
      </x:c>
      <x:c r="J142" t="n">
        <x:f>'02a n'!E142</x:f>
        <x:v>0</x:v>
      </x:c>
      <x:c r="K142" t="n">
        <x:f>'02a n'!F142</x:f>
        <x:v>0</x:v>
      </x:c>
      <x:c r="L142" t="n">
        <x:f>'02a n'!G142</x:f>
        <x:v>0</x:v>
      </x:c>
      <x:c r="M142" t="n">
        <x:f>'02b n^-1'!C142</x:f>
        <x:v>1</x:v>
      </x:c>
      <x:c r="N142" t="n">
        <x:f>'02b n^-1'!D142</x:f>
        <x:v>1</x:v>
      </x:c>
      <x:c r="O142" t="n">
        <x:f>'02b n^-1'!E142</x:f>
        <x:v>0</x:v>
      </x:c>
      <x:c r="P142" t="n">
        <x:f>'02b n^-1'!F142</x:f>
        <x:v>0</x:v>
      </x:c>
      <x:c r="Q142" t="n">
        <x:f>'02b n^-1'!G142</x:f>
        <x:v>0</x:v>
      </x:c>
      <x:c r="R142" t="n">
        <x:f>'02b n^-1'!H142</x:f>
        <x:v>1</x:v>
      </x:c>
      <x:c r="S142" s="12" t="n">
        <x:f>'02c n^-2'!C142</x:f>
        <x:v>0.5</x:v>
      </x:c>
      <x:c r="T142" t="n">
        <x:f>'02c n^-2'!D142</x:f>
        <x:v>1</x:v>
      </x:c>
      <x:c r="U142" t="n">
        <x:f>'05 Gate Output'!H142</x:f>
        <x:v>0</x:v>
      </x:c>
      <x:c r="V142" t="n">
        <x:f>'05 Gate Output'!I142</x:f>
        <x:v>1</x:v>
      </x:c>
      <x:c r="W142" t="n">
        <x:f>'05 Gate Output'!J142</x:f>
        <x:v>1</x:v>
      </x:c>
      <x:c r="X142" t="n">
        <x:f>'05 Gate Output'!K142</x:f>
        <x:v>1</x:v>
      </x:c>
      <x:c r="Y142" t="n">
        <x:f>'05 Gate Output'!L142</x:f>
        <x:v>0</x:v>
      </x:c>
      <x:c r="Z142" t="n">
        <x:f>'05 Gate Output'!M142</x:f>
        <x:v>1</x:v>
      </x:c>
    </x:row>
    <x:row r="143">
      <x:c r="A143" t="n">
        <x:f>'01 Sensory Input'!A143</x:f>
        <x:v>7</x:v>
      </x:c>
      <x:c r="B143" t="n">
        <x:f>'01 Sensory Input'!B143</x:f>
        <x:v>18</x:v>
      </x:c>
      <x:c r="C143" s="12" t="n">
        <x:f>'01 Sensory Input'!C143</x:f>
        <x:v>0.72</x:v>
      </x:c>
      <x:c r="D143" s="12" t="n">
        <x:f>'01 Sensory Input'!D143</x:f>
        <x:v>0.75</x:v>
      </x:c>
      <x:c r="E143" s="12" t="n">
        <x:f>'01 Sensory Input'!E143</x:f>
        <x:v>0.12</x:v>
      </x:c>
      <x:c r="F143" s="12" t="n">
        <x:f>'01 Sensory Input'!F143</x:f>
        <x:v>0.18</x:v>
      </x:c>
      <x:c r="G143" s="12" t="n">
        <x:f>'01 Sensory Input'!G143</x:f>
        <x:v>0.68</x:v>
      </x:c>
      <x:c r="H143" t="n">
        <x:f>'02a n'!C143</x:f>
        <x:v>0</x:v>
      </x:c>
      <x:c r="I143" t="n">
        <x:f>'02a n'!D143</x:f>
        <x:v>0</x:v>
      </x:c>
      <x:c r="J143" t="n">
        <x:f>'02a n'!E143</x:f>
        <x:v>0</x:v>
      </x:c>
      <x:c r="K143" t="n">
        <x:f>'02a n'!F143</x:f>
        <x:v>0</x:v>
      </x:c>
      <x:c r="L143" t="n">
        <x:f>'02a n'!G143</x:f>
        <x:v>0</x:v>
      </x:c>
      <x:c r="M143" t="n">
        <x:f>'02b n^-1'!C143</x:f>
        <x:v>0</x:v>
      </x:c>
      <x:c r="N143" t="n">
        <x:f>'02b n^-1'!D143</x:f>
        <x:v>1</x:v>
      </x:c>
      <x:c r="O143" t="n">
        <x:f>'02b n^-1'!E143</x:f>
        <x:v>1</x:v>
      </x:c>
      <x:c r="P143" t="n">
        <x:f>'02b n^-1'!F143</x:f>
        <x:v>0</x:v>
      </x:c>
      <x:c r="Q143" t="n">
        <x:f>'02b n^-1'!G143</x:f>
        <x:v>1</x:v>
      </x:c>
      <x:c r="R143" t="n">
        <x:f>'02b n^-1'!H143</x:f>
        <x:v>1</x:v>
      </x:c>
      <x:c r="S143" s="12" t="n">
        <x:f>'02c n^-2'!C143</x:f>
        <x:v>0.6666666666666666</x:v>
      </x:c>
      <x:c r="T143" t="n">
        <x:f>'02c n^-2'!D143</x:f>
        <x:v>1</x:v>
      </x:c>
      <x:c r="U143" t="n">
        <x:f>'05 Gate Output'!H143</x:f>
        <x:v>0</x:v>
      </x:c>
      <x:c r="V143" t="n">
        <x:f>'05 Gate Output'!I143</x:f>
        <x:v>1</x:v>
      </x:c>
      <x:c r="W143" t="n">
        <x:f>'05 Gate Output'!J143</x:f>
        <x:v>1</x:v>
      </x:c>
      <x:c r="X143" t="n">
        <x:f>'05 Gate Output'!K143</x:f>
        <x:v>1</x:v>
      </x:c>
      <x:c r="Y143" t="n">
        <x:f>'05 Gate Output'!L143</x:f>
        <x:v>0</x:v>
      </x:c>
      <x:c r="Z143" t="n">
        <x:f>'05 Gate Output'!M143</x:f>
        <x:v>1</x:v>
      </x:c>
    </x:row>
    <x:row r="144">
      <x:c r="A144" t="n">
        <x:f>'01 Sensory Input'!A144</x:f>
        <x:v>7</x:v>
      </x:c>
      <x:c r="B144" t="n">
        <x:f>'01 Sensory Input'!B144</x:f>
        <x:v>19</x:v>
      </x:c>
      <x:c r="C144" s="12" t="n">
        <x:f>'01 Sensory Input'!C144</x:f>
        <x:v>0.22</x:v>
      </x:c>
      <x:c r="D144" s="12" t="n">
        <x:f>'01 Sensory Input'!D144</x:f>
        <x:v>0.22</x:v>
      </x:c>
      <x:c r="E144" s="12" t="n">
        <x:f>'01 Sensory Input'!E144</x:f>
        <x:v>0.12</x:v>
      </x:c>
      <x:c r="F144" s="12" t="n">
        <x:f>'01 Sensory Input'!F144</x:f>
        <x:v>0.18</x:v>
      </x:c>
      <x:c r="G144" s="12" t="n">
        <x:f>'01 Sensory Input'!G144</x:f>
        <x:v>0.16</x:v>
      </x:c>
      <x:c r="H144" t="n">
        <x:f>'02a n'!C144</x:f>
        <x:v>0</x:v>
      </x:c>
      <x:c r="I144" t="n">
        <x:f>'02a n'!D144</x:f>
        <x:v>0</x:v>
      </x:c>
      <x:c r="J144" t="n">
        <x:f>'02a n'!E144</x:f>
        <x:v>0</x:v>
      </x:c>
      <x:c r="K144" t="n">
        <x:f>'02a n'!F144</x:f>
        <x:v>0</x:v>
      </x:c>
      <x:c r="L144" t="n">
        <x:f>'02a n'!G144</x:f>
        <x:v>0</x:v>
      </x:c>
      <x:c r="M144" t="n">
        <x:f>'02b n^-1'!C144</x:f>
        <x:v>1</x:v>
      </x:c>
      <x:c r="N144" t="n">
        <x:f>'02b n^-1'!D144</x:f>
        <x:v>1</x:v>
      </x:c>
      <x:c r="O144" t="n">
        <x:f>'02b n^-1'!E144</x:f>
        <x:v>0</x:v>
      </x:c>
      <x:c r="P144" t="n">
        <x:f>'02b n^-1'!F144</x:f>
        <x:v>0</x:v>
      </x:c>
      <x:c r="Q144" t="n">
        <x:f>'02b n^-1'!G144</x:f>
        <x:v>1</x:v>
      </x:c>
      <x:c r="R144" t="n">
        <x:f>'02b n^-1'!H144</x:f>
        <x:v>1</x:v>
      </x:c>
      <x:c r="S144" s="12" t="n">
        <x:f>'02c n^-2'!C144</x:f>
        <x:v>0.6666666666666666</x:v>
      </x:c>
      <x:c r="T144" t="n">
        <x:f>'02c n^-2'!D144</x:f>
        <x:v>0</x:v>
      </x:c>
      <x:c r="U144" t="n">
        <x:f>'05 Gate Output'!H144</x:f>
        <x:v>0</x:v>
      </x:c>
      <x:c r="V144" t="n">
        <x:f>'05 Gate Output'!I144</x:f>
        <x:v>1</x:v>
      </x:c>
      <x:c r="W144" t="n">
        <x:f>'05 Gate Output'!J144</x:f>
        <x:v>1</x:v>
      </x:c>
      <x:c r="X144" t="n">
        <x:f>'05 Gate Output'!K144</x:f>
        <x:v>1</x:v>
      </x:c>
      <x:c r="Y144" t="n">
        <x:f>'05 Gate Output'!L144</x:f>
        <x:v>0</x:v>
      </x:c>
      <x:c r="Z144" t="n">
        <x:f>'05 Gate Output'!M144</x:f>
        <x:v>1</x:v>
      </x:c>
    </x:row>
    <x:row r="145">
      <x:c r="A145" t="n">
        <x:f>'01 Sensory Input'!A145</x:f>
        <x:v>7</x:v>
      </x:c>
      <x:c r="B145" t="n">
        <x:f>'01 Sensory Input'!B145</x:f>
        <x:v>20</x:v>
      </x:c>
      <x:c r="C145" s="12" t="n">
        <x:f>'01 Sensory Input'!C145</x:f>
        <x:v>0.7</x:v>
      </x:c>
      <x:c r="D145" s="12" t="n">
        <x:f>'01 Sensory Input'!D145</x:f>
        <x:v>0.75</x:v>
      </x:c>
      <x:c r="E145" s="12" t="n">
        <x:f>'01 Sensory Input'!E145</x:f>
        <x:v>0.65</x:v>
      </x:c>
      <x:c r="F145" s="12" t="n">
        <x:f>'01 Sensory Input'!F145</x:f>
        <x:v>0.55</x:v>
      </x:c>
      <x:c r="G145" s="12" t="n">
        <x:f>'01 Sensory Input'!G145</x:f>
        <x:v>0.16</x:v>
      </x:c>
      <x:c r="H145" t="n">
        <x:f>'02a n'!C145</x:f>
        <x:v>0</x:v>
      </x:c>
      <x:c r="I145" t="n">
        <x:f>'02a n'!D145</x:f>
        <x:v>0</x:v>
      </x:c>
      <x:c r="J145" t="n">
        <x:f>'02a n'!E145</x:f>
        <x:v>0</x:v>
      </x:c>
      <x:c r="K145" t="n">
        <x:f>'02a n'!F145</x:f>
        <x:v>0</x:v>
      </x:c>
      <x:c r="L145" t="n">
        <x:f>'02a n'!G145</x:f>
        <x:v>0</x:v>
      </x:c>
      <x:c r="M145" t="n">
        <x:f>'02b n^-1'!C145</x:f>
        <x:v>0</x:v>
      </x:c>
      <x:c r="N145" t="n">
        <x:f>'02b n^-1'!D145</x:f>
        <x:v>1</x:v>
      </x:c>
      <x:c r="O145" t="n">
        <x:f>'02b n^-1'!E145</x:f>
        <x:v>1</x:v>
      </x:c>
      <x:c r="P145" t="n">
        <x:f>'02b n^-1'!F145</x:f>
        <x:v>0</x:v>
      </x:c>
      <x:c r="Q145" t="n">
        <x:f>'02b n^-1'!G145</x:f>
        <x:v>0</x:v>
      </x:c>
      <x:c r="R145" t="n">
        <x:f>'02b n^-1'!H145</x:f>
        <x:v>1</x:v>
      </x:c>
      <x:c r="S145" s="12" t="n">
        <x:f>'02c n^-2'!C145</x:f>
        <x:v>0.5</x:v>
      </x:c>
      <x:c r="T145" t="n">
        <x:f>'02c n^-2'!D145</x:f>
        <x:v>1</x:v>
      </x:c>
      <x:c r="U145" t="n">
        <x:f>'05 Gate Output'!H145</x:f>
        <x:v>0</x:v>
      </x:c>
      <x:c r="V145" t="n">
        <x:f>'05 Gate Output'!I145</x:f>
        <x:v>1</x:v>
      </x:c>
      <x:c r="W145" t="n">
        <x:f>'05 Gate Output'!J145</x:f>
        <x:v>1</x:v>
      </x:c>
      <x:c r="X145" t="n">
        <x:f>'05 Gate Output'!K145</x:f>
        <x:v>1</x:v>
      </x:c>
      <x:c r="Y145" t="n">
        <x:f>'05 Gate Output'!L145</x:f>
        <x:v>0</x:v>
      </x:c>
      <x:c r="Z145" t="n">
        <x:f>'05 Gate Output'!M145</x:f>
        <x:v>1</x:v>
      </x:c>
    </x:row>
    <x:row r="146">
      <x:c r="A146" t="n">
        <x:f>'01 Sensory Input'!A146</x:f>
        <x:v>8</x:v>
      </x:c>
      <x:c r="B146" t="n">
        <x:f>'01 Sensory Input'!B146</x:f>
        <x:v>1</x:v>
      </x:c>
      <x:c r="C146" s="12" t="n">
        <x:f>'01 Sensory Input'!C146</x:f>
        <x:v>0.45</x:v>
      </x:c>
      <x:c r="D146" s="12" t="n">
        <x:f>'01 Sensory Input'!D146</x:f>
        <x:v>0.4</x:v>
      </x:c>
      <x:c r="E146" s="12" t="n">
        <x:f>'01 Sensory Input'!E146</x:f>
        <x:v>0.35</x:v>
      </x:c>
      <x:c r="F146" s="12" t="n">
        <x:f>'01 Sensory Input'!F146</x:f>
        <x:v>0.3</x:v>
      </x:c>
      <x:c r="G146" s="12" t="n">
        <x:f>'01 Sensory Input'!G146</x:f>
        <x:v>0.25</x:v>
      </x:c>
      <x:c r="H146" t="n">
        <x:f>'02a n'!C146</x:f>
        <x:v>0</x:v>
      </x:c>
      <x:c r="I146" t="n">
        <x:f>'02a n'!D146</x:f>
        <x:v>0</x:v>
      </x:c>
      <x:c r="J146" t="n">
        <x:f>'02a n'!E146</x:f>
        <x:v>0</x:v>
      </x:c>
      <x:c r="K146" t="n">
        <x:f>'02a n'!F146</x:f>
        <x:v>0</x:v>
      </x:c>
      <x:c r="L146" t="n">
        <x:f>'02a n'!G146</x:f>
        <x:v>0</x:v>
      </x:c>
      <x:c r="M146" t="n">
        <x:f>'02b n^-1'!C146</x:f>
        <x:v>0</x:v>
      </x:c>
      <x:c r="N146" t="n">
        <x:f>'02b n^-1'!D146</x:f>
        <x:v>0</x:v>
      </x:c>
      <x:c r="O146" t="n">
        <x:f>'02b n^-1'!E146</x:f>
        <x:v>0</x:v>
      </x:c>
      <x:c r="P146" t="n">
        <x:f>'02b n^-1'!F146</x:f>
        <x:v>0</x:v>
      </x:c>
      <x:c r="Q146" t="n">
        <x:f>'02b n^-1'!G146</x:f>
        <x:v>0</x:v>
      </x:c>
      <x:c r="R146" t="n">
        <x:f>'02b n^-1'!H146</x:f>
        <x:v>0</x:v>
      </x:c>
      <x:c r="S146" s="12" t="n">
        <x:f>'02c n^-2'!C146</x:f>
        <x:v>0</x:v>
      </x:c>
      <x:c r="T146" t="n">
        <x:f>'02c n^-2'!D146</x:f>
        <x:v>0</x:v>
      </x:c>
      <x:c r="U146" t="n">
        <x:f>'05 Gate Output'!H146</x:f>
        <x:v>1</x:v>
      </x:c>
      <x:c r="V146" t="n">
        <x:f>'05 Gate Output'!I146</x:f>
        <x:v>0</x:v>
      </x:c>
      <x:c r="W146" t="n">
        <x:f>'05 Gate Output'!J146</x:f>
        <x:v>0</x:v>
      </x:c>
      <x:c r="X146" t="n">
        <x:f>'05 Gate Output'!K146</x:f>
        <x:v>0</x:v>
      </x:c>
      <x:c r="Y146" t="n">
        <x:f>'05 Gate Output'!L146</x:f>
        <x:v>0</x:v>
      </x:c>
      <x:c r="Z146" t="n">
        <x:f>'05 Gate Output'!M146</x:f>
        <x:v>0</x:v>
      </x:c>
    </x:row>
    <x:row r="147">
      <x:c r="A147" t="n">
        <x:f>'01 Sensory Input'!A147</x:f>
        <x:v>8</x:v>
      </x:c>
      <x:c r="B147" t="n">
        <x:f>'01 Sensory Input'!B147</x:f>
        <x:v>2</x:v>
      </x:c>
      <x:c r="C147" s="12" t="n">
        <x:f>'01 Sensory Input'!C147</x:f>
        <x:v>0.45</x:v>
      </x:c>
      <x:c r="D147" s="12" t="n">
        <x:f>'01 Sensory Input'!D147</x:f>
        <x:v>0.4</x:v>
      </x:c>
      <x:c r="E147" s="12" t="n">
        <x:f>'01 Sensory Input'!E147</x:f>
        <x:v>0.35</x:v>
      </x:c>
      <x:c r="F147" s="12" t="n">
        <x:f>'01 Sensory Input'!F147</x:f>
        <x:v>0.3</x:v>
      </x:c>
      <x:c r="G147" s="12" t="n">
        <x:f>'01 Sensory Input'!G147</x:f>
        <x:v>0.25</x:v>
      </x:c>
      <x:c r="H147" t="n">
        <x:f>'02a n'!C147</x:f>
        <x:v>0</x:v>
      </x:c>
      <x:c r="I147" t="n">
        <x:f>'02a n'!D147</x:f>
        <x:v>0</x:v>
      </x:c>
      <x:c r="J147" t="n">
        <x:f>'02a n'!E147</x:f>
        <x:v>0</x:v>
      </x:c>
      <x:c r="K147" t="n">
        <x:f>'02a n'!F147</x:f>
        <x:v>0</x:v>
      </x:c>
      <x:c r="L147" t="n">
        <x:f>'02a n'!G147</x:f>
        <x:v>0</x:v>
      </x:c>
      <x:c r="M147" t="n">
        <x:f>'02b n^-1'!C147</x:f>
        <x:v>0</x:v>
      </x:c>
      <x:c r="N147" t="n">
        <x:f>'02b n^-1'!D147</x:f>
        <x:v>0</x:v>
      </x:c>
      <x:c r="O147" t="n">
        <x:f>'02b n^-1'!E147</x:f>
        <x:v>0</x:v>
      </x:c>
      <x:c r="P147" t="n">
        <x:f>'02b n^-1'!F147</x:f>
        <x:v>0</x:v>
      </x:c>
      <x:c r="Q147" t="n">
        <x:f>'02b n^-1'!G147</x:f>
        <x:v>0</x:v>
      </x:c>
      <x:c r="R147" t="n">
        <x:f>'02b n^-1'!H147</x:f>
        <x:v>0</x:v>
      </x:c>
      <x:c r="S147" s="12" t="n">
        <x:f>'02c n^-2'!C147</x:f>
        <x:v>0</x:v>
      </x:c>
      <x:c r="T147" t="n">
        <x:f>'02c n^-2'!D147</x:f>
        <x:v>0</x:v>
      </x:c>
      <x:c r="U147" t="n">
        <x:f>'05 Gate Output'!H147</x:f>
        <x:v>1</x:v>
      </x:c>
      <x:c r="V147" t="n">
        <x:f>'05 Gate Output'!I147</x:f>
        <x:v>0</x:v>
      </x:c>
      <x:c r="W147" t="n">
        <x:f>'05 Gate Output'!J147</x:f>
        <x:v>0</x:v>
      </x:c>
      <x:c r="X147" t="n">
        <x:f>'05 Gate Output'!K147</x:f>
        <x:v>0</x:v>
      </x:c>
      <x:c r="Y147" t="n">
        <x:f>'05 Gate Output'!L147</x:f>
        <x:v>0</x:v>
      </x:c>
      <x:c r="Z147" t="n">
        <x:f>'05 Gate Output'!M147</x:f>
        <x:v>0</x:v>
      </x:c>
    </x:row>
    <x:row r="148">
      <x:c r="A148" t="n">
        <x:f>'01 Sensory Input'!A148</x:f>
        <x:v>8</x:v>
      </x:c>
      <x:c r="B148" t="n">
        <x:f>'01 Sensory Input'!B148</x:f>
        <x:v>3</x:v>
      </x:c>
      <x:c r="C148" s="12" t="n">
        <x:f>'01 Sensory Input'!C148</x:f>
        <x:v>0.45</x:v>
      </x:c>
      <x:c r="D148" s="12" t="n">
        <x:f>'01 Sensory Input'!D148</x:f>
        <x:v>0.4</x:v>
      </x:c>
      <x:c r="E148" s="12" t="n">
        <x:f>'01 Sensory Input'!E148</x:f>
        <x:v>0.35</x:v>
      </x:c>
      <x:c r="F148" s="12" t="n">
        <x:f>'01 Sensory Input'!F148</x:f>
        <x:v>0.3</x:v>
      </x:c>
      <x:c r="G148" s="12" t="n">
        <x:f>'01 Sensory Input'!G148</x:f>
        <x:v>0.85</x:v>
      </x:c>
      <x:c r="H148" t="n">
        <x:f>'02a n'!C148</x:f>
        <x:v>0</x:v>
      </x:c>
      <x:c r="I148" t="n">
        <x:f>'02a n'!D148</x:f>
        <x:v>0</x:v>
      </x:c>
      <x:c r="J148" t="n">
        <x:f>'02a n'!E148</x:f>
        <x:v>0</x:v>
      </x:c>
      <x:c r="K148" t="n">
        <x:f>'02a n'!F148</x:f>
        <x:v>0</x:v>
      </x:c>
      <x:c r="L148" t="n">
        <x:f>'02a n'!G148</x:f>
        <x:v>0</x:v>
      </x:c>
      <x:c r="M148" t="n">
        <x:f>'02b n^-1'!C148</x:f>
        <x:v>0</x:v>
      </x:c>
      <x:c r="N148" t="n">
        <x:f>'02b n^-1'!D148</x:f>
        <x:v>0</x:v>
      </x:c>
      <x:c r="O148" t="n">
        <x:f>'02b n^-1'!E148</x:f>
        <x:v>0</x:v>
      </x:c>
      <x:c r="P148" t="n">
        <x:f>'02b n^-1'!F148</x:f>
        <x:v>0</x:v>
      </x:c>
      <x:c r="Q148" t="n">
        <x:f>'02b n^-1'!G148</x:f>
        <x:v>1</x:v>
      </x:c>
      <x:c r="R148" t="n">
        <x:f>'02b n^-1'!H148</x:f>
        <x:v>0</x:v>
      </x:c>
      <x:c r="S148" s="12" t="n">
        <x:f>'02c n^-2'!C148</x:f>
        <x:v>0.16666666666666666</x:v>
      </x:c>
      <x:c r="T148" t="n">
        <x:f>'02c n^-2'!D148</x:f>
        <x:v>1</x:v>
      </x:c>
      <x:c r="U148" t="n">
        <x:f>'05 Gate Output'!H148</x:f>
        <x:v>0</x:v>
      </x:c>
      <x:c r="V148" t="n">
        <x:f>'05 Gate Output'!I148</x:f>
        <x:v>1</x:v>
      </x:c>
      <x:c r="W148" t="n">
        <x:f>'05 Gate Output'!J148</x:f>
        <x:v>1</x:v>
      </x:c>
      <x:c r="X148" t="n">
        <x:f>'05 Gate Output'!K148</x:f>
        <x:v>1</x:v>
      </x:c>
      <x:c r="Y148" t="n">
        <x:f>'05 Gate Output'!L148</x:f>
        <x:v>0</x:v>
      </x:c>
      <x:c r="Z148" t="n">
        <x:f>'05 Gate Output'!M148</x:f>
        <x:v>1</x:v>
      </x:c>
    </x:row>
    <x:row r="149">
      <x:c r="A149" t="n">
        <x:f>'01 Sensory Input'!A149</x:f>
        <x:v>8</x:v>
      </x:c>
      <x:c r="B149" t="n">
        <x:f>'01 Sensory Input'!B149</x:f>
        <x:v>4</x:v>
      </x:c>
      <x:c r="C149" s="12" t="n">
        <x:f>'01 Sensory Input'!C149</x:f>
        <x:v>1</x:v>
      </x:c>
      <x:c r="D149" s="12" t="n">
        <x:f>'01 Sensory Input'!D149</x:f>
        <x:v>0.4</x:v>
      </x:c>
      <x:c r="E149" s="12" t="n">
        <x:f>'01 Sensory Input'!E149</x:f>
        <x:v>0.35</x:v>
      </x:c>
      <x:c r="F149" s="12" t="n">
        <x:f>'01 Sensory Input'!F149</x:f>
        <x:v>0.3</x:v>
      </x:c>
      <x:c r="G149" s="12" t="n">
        <x:f>'01 Sensory Input'!G149</x:f>
        <x:v>0.25</x:v>
      </x:c>
      <x:c r="H149" t="n">
        <x:f>'02a n'!C149</x:f>
        <x:v>1</x:v>
      </x:c>
      <x:c r="I149" t="n">
        <x:f>'02a n'!D149</x:f>
        <x:v>0</x:v>
      </x:c>
      <x:c r="J149" t="n">
        <x:f>'02a n'!E149</x:f>
        <x:v>0</x:v>
      </x:c>
      <x:c r="K149" t="n">
        <x:f>'02a n'!F149</x:f>
        <x:v>0</x:v>
      </x:c>
      <x:c r="L149" t="n">
        <x:f>'02a n'!G149</x:f>
        <x:v>0</x:v>
      </x:c>
      <x:c r="M149" t="n">
        <x:f>'02b n^-1'!C149</x:f>
        <x:v>1</x:v>
      </x:c>
      <x:c r="N149" t="n">
        <x:f>'02b n^-1'!D149</x:f>
        <x:v>0</x:v>
      </x:c>
      <x:c r="O149" t="n">
        <x:f>'02b n^-1'!E149</x:f>
        <x:v>0</x:v>
      </x:c>
      <x:c r="P149" t="n">
        <x:f>'02b n^-1'!F149</x:f>
        <x:v>0</x:v>
      </x:c>
      <x:c r="Q149" t="n">
        <x:f>'02b n^-1'!G149</x:f>
        <x:v>1</x:v>
      </x:c>
      <x:c r="R149" t="n">
        <x:f>'02b n^-1'!H149</x:f>
        <x:v>1</x:v>
      </x:c>
      <x:c r="S149" s="12" t="n">
        <x:f>'02c n^-2'!C149</x:f>
        <x:v>0.5</x:v>
      </x:c>
      <x:c r="T149" t="n">
        <x:f>'02c n^-2'!D149</x:f>
        <x:v>1</x:v>
      </x:c>
      <x:c r="U149" t="n">
        <x:f>'05 Gate Output'!H149</x:f>
        <x:v>0</x:v>
      </x:c>
      <x:c r="V149" t="n">
        <x:f>'05 Gate Output'!I149</x:f>
        <x:v>1</x:v>
      </x:c>
      <x:c r="W149" t="n">
        <x:f>'05 Gate Output'!J149</x:f>
        <x:v>1</x:v>
      </x:c>
      <x:c r="X149" t="n">
        <x:f>'05 Gate Output'!K149</x:f>
        <x:v>1</x:v>
      </x:c>
      <x:c r="Y149" t="n">
        <x:f>'05 Gate Output'!L149</x:f>
        <x:v>0</x:v>
      </x:c>
      <x:c r="Z149" t="n">
        <x:f>'05 Gate Output'!M149</x:f>
        <x:v>1</x:v>
      </x:c>
    </x:row>
    <x:row r="150">
      <x:c r="A150" t="n">
        <x:f>'01 Sensory Input'!A150</x:f>
        <x:v>8</x:v>
      </x:c>
      <x:c r="B150" t="n">
        <x:f>'01 Sensory Input'!B150</x:f>
        <x:v>5</x:v>
      </x:c>
      <x:c r="C150" s="12" t="n">
        <x:f>'01 Sensory Input'!C150</x:f>
        <x:v>0.45</x:v>
      </x:c>
      <x:c r="D150" s="12" t="n">
        <x:f>'01 Sensory Input'!D150</x:f>
        <x:v>1</x:v>
      </x:c>
      <x:c r="E150" s="12" t="n">
        <x:f>'01 Sensory Input'!E150</x:f>
        <x:v>0.35</x:v>
      </x:c>
      <x:c r="F150" s="12" t="n">
        <x:f>'01 Sensory Input'!F150</x:f>
        <x:v>0.3</x:v>
      </x:c>
      <x:c r="G150" s="12" t="n">
        <x:f>'01 Sensory Input'!G150</x:f>
        <x:v>0.25</x:v>
      </x:c>
      <x:c r="H150" t="n">
        <x:f>'02a n'!C150</x:f>
        <x:v>0</x:v>
      </x:c>
      <x:c r="I150" t="n">
        <x:f>'02a n'!D150</x:f>
        <x:v>1</x:v>
      </x:c>
      <x:c r="J150" t="n">
        <x:f>'02a n'!E150</x:f>
        <x:v>0</x:v>
      </x:c>
      <x:c r="K150" t="n">
        <x:f>'02a n'!F150</x:f>
        <x:v>0</x:v>
      </x:c>
      <x:c r="L150" t="n">
        <x:f>'02a n'!G150</x:f>
        <x:v>0</x:v>
      </x:c>
      <x:c r="M150" t="n">
        <x:f>'02b n^-1'!C150</x:f>
        <x:v>1</x:v>
      </x:c>
      <x:c r="N150" t="n">
        <x:f>'02b n^-1'!D150</x:f>
        <x:v>1</x:v>
      </x:c>
      <x:c r="O150" t="n">
        <x:f>'02b n^-1'!E150</x:f>
        <x:v>0</x:v>
      </x:c>
      <x:c r="P150" t="n">
        <x:f>'02b n^-1'!F150</x:f>
        <x:v>0</x:v>
      </x:c>
      <x:c r="Q150" t="n">
        <x:f>'02b n^-1'!G150</x:f>
        <x:v>0</x:v>
      </x:c>
      <x:c r="R150" t="n">
        <x:f>'02b n^-1'!H150</x:f>
        <x:v>1</x:v>
      </x:c>
      <x:c r="S150" s="12" t="n">
        <x:f>'02c n^-2'!C150</x:f>
        <x:v>0.5</x:v>
      </x:c>
      <x:c r="T150" t="n">
        <x:f>'02c n^-2'!D150</x:f>
        <x:v>0</x:v>
      </x:c>
      <x:c r="U150" t="n">
        <x:f>'05 Gate Output'!H150</x:f>
        <x:v>0</x:v>
      </x:c>
      <x:c r="V150" t="n">
        <x:f>'05 Gate Output'!I150</x:f>
        <x:v>1</x:v>
      </x:c>
      <x:c r="W150" t="n">
        <x:f>'05 Gate Output'!J150</x:f>
        <x:v>1</x:v>
      </x:c>
      <x:c r="X150" t="n">
        <x:f>'05 Gate Output'!K150</x:f>
        <x:v>1</x:v>
      </x:c>
      <x:c r="Y150" t="n">
        <x:f>'05 Gate Output'!L150</x:f>
        <x:v>0</x:v>
      </x:c>
      <x:c r="Z150" t="n">
        <x:f>'05 Gate Output'!M150</x:f>
        <x:v>1</x:v>
      </x:c>
    </x:row>
    <x:row r="151">
      <x:c r="A151" t="n">
        <x:f>'01 Sensory Input'!A151</x:f>
        <x:v>8</x:v>
      </x:c>
      <x:c r="B151" t="n">
        <x:f>'01 Sensory Input'!B151</x:f>
        <x:v>6</x:v>
      </x:c>
      <x:c r="C151" s="12" t="n">
        <x:f>'01 Sensory Input'!C151</x:f>
        <x:v>0.45</x:v>
      </x:c>
      <x:c r="D151" s="12" t="n">
        <x:f>'01 Sensory Input'!D151</x:f>
        <x:v>0.4</x:v>
      </x:c>
      <x:c r="E151" s="12" t="n">
        <x:f>'01 Sensory Input'!E151</x:f>
        <x:v>0.95</x:v>
      </x:c>
      <x:c r="F151" s="12" t="n">
        <x:f>'01 Sensory Input'!F151</x:f>
        <x:v>0.3</x:v>
      </x:c>
      <x:c r="G151" s="12" t="n">
        <x:f>'01 Sensory Input'!G151</x:f>
        <x:v>0.85</x:v>
      </x:c>
      <x:c r="H151" t="n">
        <x:f>'02a n'!C151</x:f>
        <x:v>0</x:v>
      </x:c>
      <x:c r="I151" t="n">
        <x:f>'02a n'!D151</x:f>
        <x:v>0</x:v>
      </x:c>
      <x:c r="J151" t="n">
        <x:f>'02a n'!E151</x:f>
        <x:v>0</x:v>
      </x:c>
      <x:c r="K151" t="n">
        <x:f>'02a n'!F151</x:f>
        <x:v>0</x:v>
      </x:c>
      <x:c r="L151" t="n">
        <x:f>'02a n'!G151</x:f>
        <x:v>0</x:v>
      </x:c>
      <x:c r="M151" t="n">
        <x:f>'02b n^-1'!C151</x:f>
        <x:v>0</x:v>
      </x:c>
      <x:c r="N151" t="n">
        <x:f>'02b n^-1'!D151</x:f>
        <x:v>1</x:v>
      </x:c>
      <x:c r="O151" t="n">
        <x:f>'02b n^-1'!E151</x:f>
        <x:v>1</x:v>
      </x:c>
      <x:c r="P151" t="n">
        <x:f>'02b n^-1'!F151</x:f>
        <x:v>0</x:v>
      </x:c>
      <x:c r="Q151" t="n">
        <x:f>'02b n^-1'!G151</x:f>
        <x:v>1</x:v>
      </x:c>
      <x:c r="R151" t="n">
        <x:f>'02b n^-1'!H151</x:f>
        <x:v>1</x:v>
      </x:c>
      <x:c r="S151" s="12" t="n">
        <x:f>'02c n^-2'!C151</x:f>
        <x:v>0.6666666666666666</x:v>
      </x:c>
      <x:c r="T151" t="n">
        <x:f>'02c n^-2'!D151</x:f>
        <x:v>1</x:v>
      </x:c>
      <x:c r="U151" t="n">
        <x:f>'05 Gate Output'!H151</x:f>
        <x:v>0</x:v>
      </x:c>
      <x:c r="V151" t="n">
        <x:f>'05 Gate Output'!I151</x:f>
        <x:v>1</x:v>
      </x:c>
      <x:c r="W151" t="n">
        <x:f>'05 Gate Output'!J151</x:f>
        <x:v>1</x:v>
      </x:c>
      <x:c r="X151" t="n">
        <x:f>'05 Gate Output'!K151</x:f>
        <x:v>1</x:v>
      </x:c>
      <x:c r="Y151" t="n">
        <x:f>'05 Gate Output'!L151</x:f>
        <x:v>0</x:v>
      </x:c>
      <x:c r="Z151" t="n">
        <x:f>'05 Gate Output'!M151</x:f>
        <x:v>1</x:v>
      </x:c>
    </x:row>
    <x:row r="152">
      <x:c r="A152" t="n">
        <x:f>'01 Sensory Input'!A152</x:f>
        <x:v>8</x:v>
      </x:c>
      <x:c r="B152" t="n">
        <x:f>'01 Sensory Input'!B152</x:f>
        <x:v>7</x:v>
      </x:c>
      <x:c r="C152" s="12" t="n">
        <x:f>'01 Sensory Input'!C152</x:f>
        <x:v>0.45</x:v>
      </x:c>
      <x:c r="D152" s="12" t="n">
        <x:f>'01 Sensory Input'!D152</x:f>
        <x:v>0.4</x:v>
      </x:c>
      <x:c r="E152" s="12" t="n">
        <x:f>'01 Sensory Input'!E152</x:f>
        <x:v>0.35</x:v>
      </x:c>
      <x:c r="F152" s="12" t="n">
        <x:f>'01 Sensory Input'!F152</x:f>
        <x:v>0.9</x:v>
      </x:c>
      <x:c r="G152" s="12" t="n">
        <x:f>'01 Sensory Input'!G152</x:f>
        <x:v>0.25</x:v>
      </x:c>
      <x:c r="H152" t="n">
        <x:f>'02a n'!C152</x:f>
        <x:v>0</x:v>
      </x:c>
      <x:c r="I152" t="n">
        <x:f>'02a n'!D152</x:f>
        <x:v>0</x:v>
      </x:c>
      <x:c r="J152" t="n">
        <x:f>'02a n'!E152</x:f>
        <x:v>0</x:v>
      </x:c>
      <x:c r="K152" t="n">
        <x:f>'02a n'!F152</x:f>
        <x:v>0</x:v>
      </x:c>
      <x:c r="L152" t="n">
        <x:f>'02a n'!G152</x:f>
        <x:v>0</x:v>
      </x:c>
      <x:c r="M152" t="n">
        <x:f>'02b n^-1'!C152</x:f>
        <x:v>0</x:v>
      </x:c>
      <x:c r="N152" t="n">
        <x:f>'02b n^-1'!D152</x:f>
        <x:v>0</x:v>
      </x:c>
      <x:c r="O152" t="n">
        <x:f>'02b n^-1'!E152</x:f>
        <x:v>1</x:v>
      </x:c>
      <x:c r="P152" t="n">
        <x:f>'02b n^-1'!F152</x:f>
        <x:v>1</x:v>
      </x:c>
      <x:c r="Q152" t="n">
        <x:f>'02b n^-1'!G152</x:f>
        <x:v>1</x:v>
      </x:c>
      <x:c r="R152" t="n">
        <x:f>'02b n^-1'!H152</x:f>
        <x:v>1</x:v>
      </x:c>
      <x:c r="S152" s="12" t="n">
        <x:f>'02c n^-2'!C152</x:f>
        <x:v>0.6666666666666666</x:v>
      </x:c>
      <x:c r="T152" t="n">
        <x:f>'02c n^-2'!D152</x:f>
        <x:v>0</x:v>
      </x:c>
      <x:c r="U152" t="n">
        <x:f>'05 Gate Output'!H152</x:f>
        <x:v>0</x:v>
      </x:c>
      <x:c r="V152" t="n">
        <x:f>'05 Gate Output'!I152</x:f>
        <x:v>1</x:v>
      </x:c>
      <x:c r="W152" t="n">
        <x:f>'05 Gate Output'!J152</x:f>
        <x:v>1</x:v>
      </x:c>
      <x:c r="X152" t="n">
        <x:f>'05 Gate Output'!K152</x:f>
        <x:v>1</x:v>
      </x:c>
      <x:c r="Y152" t="n">
        <x:f>'05 Gate Output'!L152</x:f>
        <x:v>0</x:v>
      </x:c>
      <x:c r="Z152" t="n">
        <x:f>'05 Gate Output'!M152</x:f>
        <x:v>1</x:v>
      </x:c>
    </x:row>
    <x:row r="153">
      <x:c r="A153" t="n">
        <x:f>'01 Sensory Input'!A153</x:f>
        <x:v>8</x:v>
      </x:c>
      <x:c r="B153" t="n">
        <x:f>'01 Sensory Input'!B153</x:f>
        <x:v>8</x:v>
      </x:c>
      <x:c r="C153" s="12" t="n">
        <x:f>'01 Sensory Input'!C153</x:f>
        <x:v>1</x:v>
      </x:c>
      <x:c r="D153" s="12" t="n">
        <x:f>'01 Sensory Input'!D153</x:f>
        <x:v>0.4</x:v>
      </x:c>
      <x:c r="E153" s="12" t="n">
        <x:f>'01 Sensory Input'!E153</x:f>
        <x:v>0.35</x:v>
      </x:c>
      <x:c r="F153" s="12" t="n">
        <x:f>'01 Sensory Input'!F153</x:f>
        <x:v>0.3</x:v>
      </x:c>
      <x:c r="G153" s="12" t="n">
        <x:f>'01 Sensory Input'!G153</x:f>
        <x:v>0.25</x:v>
      </x:c>
      <x:c r="H153" t="n">
        <x:f>'02a n'!C153</x:f>
        <x:v>1</x:v>
      </x:c>
      <x:c r="I153" t="n">
        <x:f>'02a n'!D153</x:f>
        <x:v>0</x:v>
      </x:c>
      <x:c r="J153" t="n">
        <x:f>'02a n'!E153</x:f>
        <x:v>0</x:v>
      </x:c>
      <x:c r="K153" t="n">
        <x:f>'02a n'!F153</x:f>
        <x:v>0</x:v>
      </x:c>
      <x:c r="L153" t="n">
        <x:f>'02a n'!G153</x:f>
        <x:v>0</x:v>
      </x:c>
      <x:c r="M153" t="n">
        <x:f>'02b n^-1'!C153</x:f>
        <x:v>1</x:v>
      </x:c>
      <x:c r="N153" t="n">
        <x:f>'02b n^-1'!D153</x:f>
        <x:v>0</x:v>
      </x:c>
      <x:c r="O153" t="n">
        <x:f>'02b n^-1'!E153</x:f>
        <x:v>0</x:v>
      </x:c>
      <x:c r="P153" t="n">
        <x:f>'02b n^-1'!F153</x:f>
        <x:v>1</x:v>
      </x:c>
      <x:c r="Q153" t="n">
        <x:f>'02b n^-1'!G153</x:f>
        <x:v>0</x:v>
      </x:c>
      <x:c r="R153" t="n">
        <x:f>'02b n^-1'!H153</x:f>
        <x:v>1</x:v>
      </x:c>
      <x:c r="S153" s="12" t="n">
        <x:f>'02c n^-2'!C153</x:f>
        <x:v>0.5</x:v>
      </x:c>
      <x:c r="T153" t="n">
        <x:f>'02c n^-2'!D153</x:f>
        <x:v>1</x:v>
      </x:c>
      <x:c r="U153" t="n">
        <x:f>'05 Gate Output'!H153</x:f>
        <x:v>0</x:v>
      </x:c>
      <x:c r="V153" t="n">
        <x:f>'05 Gate Output'!I153</x:f>
        <x:v>1</x:v>
      </x:c>
      <x:c r="W153" t="n">
        <x:f>'05 Gate Output'!J153</x:f>
        <x:v>1</x:v>
      </x:c>
      <x:c r="X153" t="n">
        <x:f>'05 Gate Output'!K153</x:f>
        <x:v>1</x:v>
      </x:c>
      <x:c r="Y153" t="n">
        <x:f>'05 Gate Output'!L153</x:f>
        <x:v>0</x:v>
      </x:c>
      <x:c r="Z153" t="n">
        <x:f>'05 Gate Output'!M153</x:f>
        <x:v>1</x:v>
      </x:c>
    </x:row>
    <x:row r="154">
      <x:c r="A154" t="n">
        <x:f>'01 Sensory Input'!A154</x:f>
        <x:v>8</x:v>
      </x:c>
      <x:c r="B154" t="n">
        <x:f>'01 Sensory Input'!B154</x:f>
        <x:v>9</x:v>
      </x:c>
      <x:c r="C154" s="12" t="n">
        <x:f>'01 Sensory Input'!C154</x:f>
        <x:v>0.2</x:v>
      </x:c>
      <x:c r="D154" s="12" t="n">
        <x:f>'01 Sensory Input'!D154</x:f>
        <x:v>0.22</x:v>
      </x:c>
      <x:c r="E154" s="12" t="n">
        <x:f>'01 Sensory Input'!E154</x:f>
        <x:v>0.24</x:v>
      </x:c>
      <x:c r="F154" s="12" t="n">
        <x:f>'01 Sensory Input'!F154</x:f>
        <x:v>0.26</x:v>
      </x:c>
      <x:c r="G154" s="12" t="n">
        <x:f>'01 Sensory Input'!G154</x:f>
        <x:v>0.28</x:v>
      </x:c>
      <x:c r="H154" t="n">
        <x:f>'02a n'!C154</x:f>
        <x:v>0</x:v>
      </x:c>
      <x:c r="I154" t="n">
        <x:f>'02a n'!D154</x:f>
        <x:v>0</x:v>
      </x:c>
      <x:c r="J154" t="n">
        <x:f>'02a n'!E154</x:f>
        <x:v>0</x:v>
      </x:c>
      <x:c r="K154" t="n">
        <x:f>'02a n'!F154</x:f>
        <x:v>0</x:v>
      </x:c>
      <x:c r="L154" t="n">
        <x:f>'02a n'!G154</x:f>
        <x:v>0</x:v>
      </x:c>
      <x:c r="M154" t="n">
        <x:f>'02b n^-1'!C154</x:f>
        <x:v>1</x:v>
      </x:c>
      <x:c r="N154" t="n">
        <x:f>'02b n^-1'!D154</x:f>
        <x:v>0</x:v>
      </x:c>
      <x:c r="O154" t="n">
        <x:f>'02b n^-1'!E154</x:f>
        <x:v>0</x:v>
      </x:c>
      <x:c r="P154" t="n">
        <x:f>'02b n^-1'!F154</x:f>
        <x:v>0</x:v>
      </x:c>
      <x:c r="Q154" t="n">
        <x:f>'02b n^-1'!G154</x:f>
        <x:v>0</x:v>
      </x:c>
      <x:c r="R154" t="n">
        <x:f>'02b n^-1'!H154</x:f>
        <x:v>0</x:v>
      </x:c>
      <x:c r="S154" s="12" t="n">
        <x:f>'02c n^-2'!C154</x:f>
        <x:v>0.16666666666666666</x:v>
      </x:c>
      <x:c r="T154" t="n">
        <x:f>'02c n^-2'!D154</x:f>
        <x:v>1</x:v>
      </x:c>
      <x:c r="U154" t="n">
        <x:f>'05 Gate Output'!H154</x:f>
        <x:v>0</x:v>
      </x:c>
      <x:c r="V154" t="n">
        <x:f>'05 Gate Output'!I154</x:f>
        <x:v>1</x:v>
      </x:c>
      <x:c r="W154" t="n">
        <x:f>'05 Gate Output'!J154</x:f>
        <x:v>1</x:v>
      </x:c>
      <x:c r="X154" t="n">
        <x:f>'05 Gate Output'!K154</x:f>
        <x:v>1</x:v>
      </x:c>
      <x:c r="Y154" t="n">
        <x:f>'05 Gate Output'!L154</x:f>
        <x:v>0</x:v>
      </x:c>
      <x:c r="Z154" t="n">
        <x:f>'05 Gate Output'!M154</x:f>
        <x:v>1</x:v>
      </x:c>
    </x:row>
    <x:row r="155">
      <x:c r="A155" t="n">
        <x:f>'01 Sensory Input'!A155</x:f>
        <x:v>8</x:v>
      </x:c>
      <x:c r="B155" t="n">
        <x:f>'01 Sensory Input'!B155</x:f>
        <x:v>10</x:v>
      </x:c>
      <x:c r="C155" s="12" t="n">
        <x:f>'01 Sensory Input'!C155</x:f>
        <x:v>0.45</x:v>
      </x:c>
      <x:c r="D155" s="12" t="n">
        <x:f>'01 Sensory Input'!D155</x:f>
        <x:v>1</x:v>
      </x:c>
      <x:c r="E155" s="12" t="n">
        <x:f>'01 Sensory Input'!E155</x:f>
        <x:v>0.35</x:v>
      </x:c>
      <x:c r="F155" s="12" t="n">
        <x:f>'01 Sensory Input'!F155</x:f>
        <x:v>0.3</x:v>
      </x:c>
      <x:c r="G155" s="12" t="n">
        <x:f>'01 Sensory Input'!G155</x:f>
        <x:v>0.25</x:v>
      </x:c>
      <x:c r="H155" t="n">
        <x:f>'02a n'!C155</x:f>
        <x:v>0</x:v>
      </x:c>
      <x:c r="I155" t="n">
        <x:f>'02a n'!D155</x:f>
        <x:v>1</x:v>
      </x:c>
      <x:c r="J155" t="n">
        <x:f>'02a n'!E155</x:f>
        <x:v>0</x:v>
      </x:c>
      <x:c r="K155" t="n">
        <x:f>'02a n'!F155</x:f>
        <x:v>0</x:v>
      </x:c>
      <x:c r="L155" t="n">
        <x:f>'02a n'!G155</x:f>
        <x:v>0</x:v>
      </x:c>
      <x:c r="M155" t="n">
        <x:f>'02b n^-1'!C155</x:f>
        <x:v>0</x:v>
      </x:c>
      <x:c r="N155" t="n">
        <x:f>'02b n^-1'!D155</x:f>
        <x:v>1</x:v>
      </x:c>
      <x:c r="O155" t="n">
        <x:f>'02b n^-1'!E155</x:f>
        <x:v>0</x:v>
      </x:c>
      <x:c r="P155" t="n">
        <x:f>'02b n^-1'!F155</x:f>
        <x:v>0</x:v>
      </x:c>
      <x:c r="Q155" t="n">
        <x:f>'02b n^-1'!G155</x:f>
        <x:v>0</x:v>
      </x:c>
      <x:c r="R155" t="n">
        <x:f>'02b n^-1'!H155</x:f>
        <x:v>0</x:v>
      </x:c>
      <x:c r="S155" s="12" t="n">
        <x:f>'02c n^-2'!C155</x:f>
        <x:v>0.16666666666666666</x:v>
      </x:c>
      <x:c r="T155" t="n">
        <x:f>'02c n^-2'!D155</x:f>
        <x:v>0</x:v>
      </x:c>
      <x:c r="U155" t="n">
        <x:f>'05 Gate Output'!H155</x:f>
        <x:v>0</x:v>
      </x:c>
      <x:c r="V155" t="n">
        <x:f>'05 Gate Output'!I155</x:f>
        <x:v>1</x:v>
      </x:c>
      <x:c r="W155" t="n">
        <x:f>'05 Gate Output'!J155</x:f>
        <x:v>0</x:v>
      </x:c>
      <x:c r="X155" t="n">
        <x:f>'05 Gate Output'!K155</x:f>
        <x:v>0</x:v>
      </x:c>
      <x:c r="Y155" t="n">
        <x:f>'05 Gate Output'!L155</x:f>
        <x:v>0</x:v>
      </x:c>
      <x:c r="Z155" t="n">
        <x:f>'05 Gate Output'!M155</x:f>
        <x:v>1</x:v>
      </x:c>
    </x:row>
    <x:row r="156">
      <x:c r="A156" t="n">
        <x:f>'01 Sensory Input'!A156</x:f>
        <x:v>8</x:v>
      </x:c>
      <x:c r="B156" t="n">
        <x:f>'01 Sensory Input'!B156</x:f>
        <x:v>11</x:v>
      </x:c>
      <x:c r="C156" s="12" t="n">
        <x:f>'01 Sensory Input'!C156</x:f>
        <x:v>0.45</x:v>
      </x:c>
      <x:c r="D156" s="12" t="n">
        <x:f>'01 Sensory Input'!D156</x:f>
        <x:v>0.4</x:v>
      </x:c>
      <x:c r="E156" s="12" t="n">
        <x:f>'01 Sensory Input'!E156</x:f>
        <x:v>0.35</x:v>
      </x:c>
      <x:c r="F156" s="12" t="n">
        <x:f>'01 Sensory Input'!F156</x:f>
        <x:v>0.3</x:v>
      </x:c>
      <x:c r="G156" s="12" t="n">
        <x:f>'01 Sensory Input'!G156</x:f>
        <x:v>0.25</x:v>
      </x:c>
      <x:c r="H156" t="n">
        <x:f>'02a n'!C156</x:f>
        <x:v>0</x:v>
      </x:c>
      <x:c r="I156" t="n">
        <x:f>'02a n'!D156</x:f>
        <x:v>0</x:v>
      </x:c>
      <x:c r="J156" t="n">
        <x:f>'02a n'!E156</x:f>
        <x:v>0</x:v>
      </x:c>
      <x:c r="K156" t="n">
        <x:f>'02a n'!F156</x:f>
        <x:v>0</x:v>
      </x:c>
      <x:c r="L156" t="n">
        <x:f>'02a n'!G156</x:f>
        <x:v>0</x:v>
      </x:c>
      <x:c r="M156" t="n">
        <x:f>'02b n^-1'!C156</x:f>
        <x:v>0</x:v>
      </x:c>
      <x:c r="N156" t="n">
        <x:f>'02b n^-1'!D156</x:f>
        <x:v>1</x:v>
      </x:c>
      <x:c r="O156" t="n">
        <x:f>'02b n^-1'!E156</x:f>
        <x:v>0</x:v>
      </x:c>
      <x:c r="P156" t="n">
        <x:f>'02b n^-1'!F156</x:f>
        <x:v>0</x:v>
      </x:c>
      <x:c r="Q156" t="n">
        <x:f>'02b n^-1'!G156</x:f>
        <x:v>0</x:v>
      </x:c>
      <x:c r="R156" t="n">
        <x:f>'02b n^-1'!H156</x:f>
        <x:v>0</x:v>
      </x:c>
      <x:c r="S156" s="12" t="n">
        <x:f>'02c n^-2'!C156</x:f>
        <x:v>0.16666666666666666</x:v>
      </x:c>
      <x:c r="T156" t="n">
        <x:f>'02c n^-2'!D156</x:f>
        <x:v>0</x:v>
      </x:c>
      <x:c r="U156" t="n">
        <x:f>'05 Gate Output'!H156</x:f>
        <x:v>1</x:v>
      </x:c>
      <x:c r="V156" t="n">
        <x:f>'05 Gate Output'!I156</x:f>
        <x:v>0</x:v>
      </x:c>
      <x:c r="W156" t="n">
        <x:f>'05 Gate Output'!J156</x:f>
        <x:v>0</x:v>
      </x:c>
      <x:c r="X156" t="n">
        <x:f>'05 Gate Output'!K156</x:f>
        <x:v>0</x:v>
      </x:c>
      <x:c r="Y156" t="n">
        <x:f>'05 Gate Output'!L156</x:f>
        <x:v>0</x:v>
      </x:c>
      <x:c r="Z156" t="n">
        <x:f>'05 Gate Output'!M156</x:f>
        <x:v>0</x:v>
      </x:c>
    </x:row>
    <x:row r="157">
      <x:c r="A157" t="n">
        <x:f>'01 Sensory Input'!A157</x:f>
        <x:v>8</x:v>
      </x:c>
      <x:c r="B157" t="n">
        <x:f>'01 Sensory Input'!B157</x:f>
        <x:v>12</x:v>
      </x:c>
      <x:c r="C157" s="12" t="n">
        <x:f>'01 Sensory Input'!C157</x:f>
        <x:v>1</x:v>
      </x:c>
      <x:c r="D157" s="12" t="n">
        <x:f>'01 Sensory Input'!D157</x:f>
        <x:v>0.4</x:v>
      </x:c>
      <x:c r="E157" s="12" t="n">
        <x:f>'01 Sensory Input'!E157</x:f>
        <x:v>0.95</x:v>
      </x:c>
      <x:c r="F157" s="12" t="n">
        <x:f>'01 Sensory Input'!F157</x:f>
        <x:v>0.3</x:v>
      </x:c>
      <x:c r="G157" s="12" t="n">
        <x:f>'01 Sensory Input'!G157</x:f>
        <x:v>0.85</x:v>
      </x:c>
      <x:c r="H157" t="n">
        <x:f>'02a n'!C157</x:f>
        <x:v>1</x:v>
      </x:c>
      <x:c r="I157" t="n">
        <x:f>'02a n'!D157</x:f>
        <x:v>0</x:v>
      </x:c>
      <x:c r="J157" t="n">
        <x:f>'02a n'!E157</x:f>
        <x:v>0</x:v>
      </x:c>
      <x:c r="K157" t="n">
        <x:f>'02a n'!F157</x:f>
        <x:v>0</x:v>
      </x:c>
      <x:c r="L157" t="n">
        <x:f>'02a n'!G157</x:f>
        <x:v>0</x:v>
      </x:c>
      <x:c r="M157" t="n">
        <x:f>'02b n^-1'!C157</x:f>
        <x:v>1</x:v>
      </x:c>
      <x:c r="N157" t="n">
        <x:f>'02b n^-1'!D157</x:f>
        <x:v>0</x:v>
      </x:c>
      <x:c r="O157" t="n">
        <x:f>'02b n^-1'!E157</x:f>
        <x:v>1</x:v>
      </x:c>
      <x:c r="P157" t="n">
        <x:f>'02b n^-1'!F157</x:f>
        <x:v>0</x:v>
      </x:c>
      <x:c r="Q157" t="n">
        <x:f>'02b n^-1'!G157</x:f>
        <x:v>1</x:v>
      </x:c>
      <x:c r="R157" t="n">
        <x:f>'02b n^-1'!H157</x:f>
        <x:v>1</x:v>
      </x:c>
      <x:c r="S157" s="12" t="n">
        <x:f>'02c n^-2'!C157</x:f>
        <x:v>0.6666666666666666</x:v>
      </x:c>
      <x:c r="T157" t="n">
        <x:f>'02c n^-2'!D157</x:f>
        <x:v>1</x:v>
      </x:c>
      <x:c r="U157" t="n">
        <x:f>'05 Gate Output'!H157</x:f>
        <x:v>0</x:v>
      </x:c>
      <x:c r="V157" t="n">
        <x:f>'05 Gate Output'!I157</x:f>
        <x:v>1</x:v>
      </x:c>
      <x:c r="W157" t="n">
        <x:f>'05 Gate Output'!J157</x:f>
        <x:v>1</x:v>
      </x:c>
      <x:c r="X157" t="n">
        <x:f>'05 Gate Output'!K157</x:f>
        <x:v>1</x:v>
      </x:c>
      <x:c r="Y157" t="n">
        <x:f>'05 Gate Output'!L157</x:f>
        <x:v>0</x:v>
      </x:c>
      <x:c r="Z157" t="n">
        <x:f>'05 Gate Output'!M157</x:f>
        <x:v>1</x:v>
      </x:c>
    </x:row>
    <x:row r="158">
      <x:c r="A158" t="n">
        <x:f>'01 Sensory Input'!A158</x:f>
        <x:v>8</x:v>
      </x:c>
      <x:c r="B158" t="n">
        <x:f>'01 Sensory Input'!B158</x:f>
        <x:v>13</x:v>
      </x:c>
      <x:c r="C158" s="12" t="n">
        <x:f>'01 Sensory Input'!C158</x:f>
        <x:v>0.45</x:v>
      </x:c>
      <x:c r="D158" s="12" t="n">
        <x:f>'01 Sensory Input'!D158</x:f>
        <x:v>0.4</x:v>
      </x:c>
      <x:c r="E158" s="12" t="n">
        <x:f>'01 Sensory Input'!E158</x:f>
        <x:v>0.35</x:v>
      </x:c>
      <x:c r="F158" s="12" t="n">
        <x:f>'01 Sensory Input'!F158</x:f>
        <x:v>0.3</x:v>
      </x:c>
      <x:c r="G158" s="12" t="n">
        <x:f>'01 Sensory Input'!G158</x:f>
        <x:v>0.25</x:v>
      </x:c>
      <x:c r="H158" t="n">
        <x:f>'02a n'!C158</x:f>
        <x:v>0</x:v>
      </x:c>
      <x:c r="I158" t="n">
        <x:f>'02a n'!D158</x:f>
        <x:v>0</x:v>
      </x:c>
      <x:c r="J158" t="n">
        <x:f>'02a n'!E158</x:f>
        <x:v>0</x:v>
      </x:c>
      <x:c r="K158" t="n">
        <x:f>'02a n'!F158</x:f>
        <x:v>0</x:v>
      </x:c>
      <x:c r="L158" t="n">
        <x:f>'02a n'!G158</x:f>
        <x:v>0</x:v>
      </x:c>
      <x:c r="M158" t="n">
        <x:f>'02b n^-1'!C158</x:f>
        <x:v>1</x:v>
      </x:c>
      <x:c r="N158" t="n">
        <x:f>'02b n^-1'!D158</x:f>
        <x:v>0</x:v>
      </x:c>
      <x:c r="O158" t="n">
        <x:f>'02b n^-1'!E158</x:f>
        <x:v>1</x:v>
      </x:c>
      <x:c r="P158" t="n">
        <x:f>'02b n^-1'!F158</x:f>
        <x:v>0</x:v>
      </x:c>
      <x:c r="Q158" t="n">
        <x:f>'02b n^-1'!G158</x:f>
        <x:v>1</x:v>
      </x:c>
      <x:c r="R158" t="n">
        <x:f>'02b n^-1'!H158</x:f>
        <x:v>1</x:v>
      </x:c>
      <x:c r="S158" s="12" t="n">
        <x:f>'02c n^-2'!C158</x:f>
        <x:v>0.6666666666666666</x:v>
      </x:c>
      <x:c r="T158" t="n">
        <x:f>'02c n^-2'!D158</x:f>
        <x:v>0</x:v>
      </x:c>
      <x:c r="U158" t="n">
        <x:f>'05 Gate Output'!H158</x:f>
        <x:v>0</x:v>
      </x:c>
      <x:c r="V158" t="n">
        <x:f>'05 Gate Output'!I158</x:f>
        <x:v>1</x:v>
      </x:c>
      <x:c r="W158" t="n">
        <x:f>'05 Gate Output'!J158</x:f>
        <x:v>1</x:v>
      </x:c>
      <x:c r="X158" t="n">
        <x:f>'05 Gate Output'!K158</x:f>
        <x:v>1</x:v>
      </x:c>
      <x:c r="Y158" t="n">
        <x:f>'05 Gate Output'!L158</x:f>
        <x:v>0</x:v>
      </x:c>
      <x:c r="Z158" t="n">
        <x:f>'05 Gate Output'!M158</x:f>
        <x:v>1</x:v>
      </x:c>
    </x:row>
    <x:row r="159">
      <x:c r="A159" t="n">
        <x:f>'01 Sensory Input'!A159</x:f>
        <x:v>8</x:v>
      </x:c>
      <x:c r="B159" t="n">
        <x:f>'01 Sensory Input'!B159</x:f>
        <x:v>14</x:v>
      </x:c>
      <x:c r="C159" s="12" t="n">
        <x:f>'01 Sensory Input'!C159</x:f>
        <x:v>0.45</x:v>
      </x:c>
      <x:c r="D159" s="12" t="n">
        <x:f>'01 Sensory Input'!D159</x:f>
        <x:v>0.4</x:v>
      </x:c>
      <x:c r="E159" s="12" t="n">
        <x:f>'01 Sensory Input'!E159</x:f>
        <x:v>0.35</x:v>
      </x:c>
      <x:c r="F159" s="12" t="n">
        <x:f>'01 Sensory Input'!F159</x:f>
        <x:v>0.9</x:v>
      </x:c>
      <x:c r="G159" s="12" t="n">
        <x:f>'01 Sensory Input'!G159</x:f>
        <x:v>0.25</x:v>
      </x:c>
      <x:c r="H159" t="n">
        <x:f>'02a n'!C159</x:f>
        <x:v>0</x:v>
      </x:c>
      <x:c r="I159" t="n">
        <x:f>'02a n'!D159</x:f>
        <x:v>0</x:v>
      </x:c>
      <x:c r="J159" t="n">
        <x:f>'02a n'!E159</x:f>
        <x:v>0</x:v>
      </x:c>
      <x:c r="K159" t="n">
        <x:f>'02a n'!F159</x:f>
        <x:v>0</x:v>
      </x:c>
      <x:c r="L159" t="n">
        <x:f>'02a n'!G159</x:f>
        <x:v>0</x:v>
      </x:c>
      <x:c r="M159" t="n">
        <x:f>'02b n^-1'!C159</x:f>
        <x:v>0</x:v>
      </x:c>
      <x:c r="N159" t="n">
        <x:f>'02b n^-1'!D159</x:f>
        <x:v>0</x:v>
      </x:c>
      <x:c r="O159" t="n">
        <x:f>'02b n^-1'!E159</x:f>
        <x:v>0</x:v>
      </x:c>
      <x:c r="P159" t="n">
        <x:f>'02b n^-1'!F159</x:f>
        <x:v>1</x:v>
      </x:c>
      <x:c r="Q159" t="n">
        <x:f>'02b n^-1'!G159</x:f>
        <x:v>0</x:v>
      </x:c>
      <x:c r="R159" t="n">
        <x:f>'02b n^-1'!H159</x:f>
        <x:v>0</x:v>
      </x:c>
      <x:c r="S159" s="12" t="n">
        <x:f>'02c n^-2'!C159</x:f>
        <x:v>0.16666666666666666</x:v>
      </x:c>
      <x:c r="T159" t="n">
        <x:f>'02c n^-2'!D159</x:f>
        <x:v>1</x:v>
      </x:c>
      <x:c r="U159" t="n">
        <x:f>'05 Gate Output'!H159</x:f>
        <x:v>0</x:v>
      </x:c>
      <x:c r="V159" t="n">
        <x:f>'05 Gate Output'!I159</x:f>
        <x:v>1</x:v>
      </x:c>
      <x:c r="W159" t="n">
        <x:f>'05 Gate Output'!J159</x:f>
        <x:v>1</x:v>
      </x:c>
      <x:c r="X159" t="n">
        <x:f>'05 Gate Output'!K159</x:f>
        <x:v>1</x:v>
      </x:c>
      <x:c r="Y159" t="n">
        <x:f>'05 Gate Output'!L159</x:f>
        <x:v>0</x:v>
      </x:c>
      <x:c r="Z159" t="n">
        <x:f>'05 Gate Output'!M159</x:f>
        <x:v>1</x:v>
      </x:c>
    </x:row>
    <x:row r="160">
      <x:c r="A160" t="n">
        <x:f>'01 Sensory Input'!A160</x:f>
        <x:v>8</x:v>
      </x:c>
      <x:c r="B160" t="n">
        <x:f>'01 Sensory Input'!B160</x:f>
        <x:v>15</x:v>
      </x:c>
      <x:c r="C160" s="12" t="n">
        <x:f>'01 Sensory Input'!C160</x:f>
        <x:v>0.2</x:v>
      </x:c>
      <x:c r="D160" s="12" t="n">
        <x:f>'01 Sensory Input'!D160</x:f>
        <x:v>0.22</x:v>
      </x:c>
      <x:c r="E160" s="12" t="n">
        <x:f>'01 Sensory Input'!E160</x:f>
        <x:v>0.24</x:v>
      </x:c>
      <x:c r="F160" s="12" t="n">
        <x:f>'01 Sensory Input'!F160</x:f>
        <x:v>0.26</x:v>
      </x:c>
      <x:c r="G160" s="12" t="n">
        <x:f>'01 Sensory Input'!G160</x:f>
        <x:v>0.28</x:v>
      </x:c>
      <x:c r="H160" t="n">
        <x:f>'02a n'!C160</x:f>
        <x:v>0</x:v>
      </x:c>
      <x:c r="I160" t="n">
        <x:f>'02a n'!D160</x:f>
        <x:v>0</x:v>
      </x:c>
      <x:c r="J160" t="n">
        <x:f>'02a n'!E160</x:f>
        <x:v>0</x:v>
      </x:c>
      <x:c r="K160" t="n">
        <x:f>'02a n'!F160</x:f>
        <x:v>0</x:v>
      </x:c>
      <x:c r="L160" t="n">
        <x:f>'02a n'!G160</x:f>
        <x:v>0</x:v>
      </x:c>
      <x:c r="M160" t="n">
        <x:f>'02b n^-1'!C160</x:f>
        <x:v>0</x:v>
      </x:c>
      <x:c r="N160" t="n">
        <x:f>'02b n^-1'!D160</x:f>
        <x:v>0</x:v>
      </x:c>
      <x:c r="O160" t="n">
        <x:f>'02b n^-1'!E160</x:f>
        <x:v>0</x:v>
      </x:c>
      <x:c r="P160" t="n">
        <x:f>'02b n^-1'!F160</x:f>
        <x:v>1</x:v>
      </x:c>
      <x:c r="Q160" t="n">
        <x:f>'02b n^-1'!G160</x:f>
        <x:v>0</x:v>
      </x:c>
      <x:c r="R160" t="n">
        <x:f>'02b n^-1'!H160</x:f>
        <x:v>0</x:v>
      </x:c>
      <x:c r="S160" s="12" t="n">
        <x:f>'02c n^-2'!C160</x:f>
        <x:v>0.16666666666666666</x:v>
      </x:c>
      <x:c r="T160" t="n">
        <x:f>'02c n^-2'!D160</x:f>
        <x:v>0</x:v>
      </x:c>
      <x:c r="U160" t="n">
        <x:f>'05 Gate Output'!H160</x:f>
        <x:v>1</x:v>
      </x:c>
      <x:c r="V160" t="n">
        <x:f>'05 Gate Output'!I160</x:f>
        <x:v>0</x:v>
      </x:c>
      <x:c r="W160" t="n">
        <x:f>'05 Gate Output'!J160</x:f>
        <x:v>0</x:v>
      </x:c>
      <x:c r="X160" t="n">
        <x:f>'05 Gate Output'!K160</x:f>
        <x:v>0</x:v>
      </x:c>
      <x:c r="Y160" t="n">
        <x:f>'05 Gate Output'!L160</x:f>
        <x:v>0</x:v>
      </x:c>
      <x:c r="Z160" t="n">
        <x:f>'05 Gate Output'!M160</x:f>
        <x:v>0</x:v>
      </x:c>
    </x:row>
    <x:row r="161">
      <x:c r="A161" t="n">
        <x:f>'01 Sensory Input'!A161</x:f>
        <x:v>8</x:v>
      </x:c>
      <x:c r="B161" t="n">
        <x:f>'01 Sensory Input'!B161</x:f>
        <x:v>16</x:v>
      </x:c>
      <x:c r="C161" s="12" t="n">
        <x:f>'01 Sensory Input'!C161</x:f>
        <x:v>1</x:v>
      </x:c>
      <x:c r="D161" s="12" t="n">
        <x:f>'01 Sensory Input'!D161</x:f>
        <x:v>0.4</x:v>
      </x:c>
      <x:c r="E161" s="12" t="n">
        <x:f>'01 Sensory Input'!E161</x:f>
        <x:v>0.35</x:v>
      </x:c>
      <x:c r="F161" s="12" t="n">
        <x:f>'01 Sensory Input'!F161</x:f>
        <x:v>0.3</x:v>
      </x:c>
      <x:c r="G161" s="12" t="n">
        <x:f>'01 Sensory Input'!G161</x:f>
        <x:v>0.25</x:v>
      </x:c>
      <x:c r="H161" t="n">
        <x:f>'02a n'!C161</x:f>
        <x:v>1</x:v>
      </x:c>
      <x:c r="I161" t="n">
        <x:f>'02a n'!D161</x:f>
        <x:v>0</x:v>
      </x:c>
      <x:c r="J161" t="n">
        <x:f>'02a n'!E161</x:f>
        <x:v>0</x:v>
      </x:c>
      <x:c r="K161" t="n">
        <x:f>'02a n'!F161</x:f>
        <x:v>0</x:v>
      </x:c>
      <x:c r="L161" t="n">
        <x:f>'02a n'!G161</x:f>
        <x:v>0</x:v>
      </x:c>
      <x:c r="M161" t="n">
        <x:f>'02b n^-1'!C161</x:f>
        <x:v>1</x:v>
      </x:c>
      <x:c r="N161" t="n">
        <x:f>'02b n^-1'!D161</x:f>
        <x:v>0</x:v>
      </x:c>
      <x:c r="O161" t="n">
        <x:f>'02b n^-1'!E161</x:f>
        <x:v>0</x:v>
      </x:c>
      <x:c r="P161" t="n">
        <x:f>'02b n^-1'!F161</x:f>
        <x:v>0</x:v>
      </x:c>
      <x:c r="Q161" t="n">
        <x:f>'02b n^-1'!G161</x:f>
        <x:v>0</x:v>
      </x:c>
      <x:c r="R161" t="n">
        <x:f>'02b n^-1'!H161</x:f>
        <x:v>0</x:v>
      </x:c>
      <x:c r="S161" s="12" t="n">
        <x:f>'02c n^-2'!C161</x:f>
        <x:v>0.16666666666666666</x:v>
      </x:c>
      <x:c r="T161" t="n">
        <x:f>'02c n^-2'!D161</x:f>
        <x:v>0</x:v>
      </x:c>
      <x:c r="U161" t="n">
        <x:f>'05 Gate Output'!H161</x:f>
        <x:v>0</x:v>
      </x:c>
      <x:c r="V161" t="n">
        <x:f>'05 Gate Output'!I161</x:f>
        <x:v>1</x:v>
      </x:c>
      <x:c r="W161" t="n">
        <x:f>'05 Gate Output'!J161</x:f>
        <x:v>0</x:v>
      </x:c>
      <x:c r="X161" t="n">
        <x:f>'05 Gate Output'!K161</x:f>
        <x:v>0</x:v>
      </x:c>
      <x:c r="Y161" t="n">
        <x:f>'05 Gate Output'!L161</x:f>
        <x:v>0</x:v>
      </x:c>
      <x:c r="Z161" t="n">
        <x:f>'05 Gate Output'!M161</x:f>
        <x:v>1</x:v>
      </x:c>
    </x:row>
    <x:row r="162">
      <x:c r="A162" t="n">
        <x:f>'01 Sensory Input'!A162</x:f>
        <x:v>8</x:v>
      </x:c>
      <x:c r="B162" t="n">
        <x:f>'01 Sensory Input'!B162</x:f>
        <x:v>17</x:v>
      </x:c>
      <x:c r="C162" s="12" t="n">
        <x:f>'01 Sensory Input'!C162</x:f>
        <x:v>0.45</x:v>
      </x:c>
      <x:c r="D162" s="12" t="n">
        <x:f>'01 Sensory Input'!D162</x:f>
        <x:v>0.4</x:v>
      </x:c>
      <x:c r="E162" s="12" t="n">
        <x:f>'01 Sensory Input'!E162</x:f>
        <x:v>0.35</x:v>
      </x:c>
      <x:c r="F162" s="12" t="n">
        <x:f>'01 Sensory Input'!F162</x:f>
        <x:v>0.3</x:v>
      </x:c>
      <x:c r="G162" s="12" t="n">
        <x:f>'01 Sensory Input'!G162</x:f>
        <x:v>0.25</x:v>
      </x:c>
      <x:c r="H162" t="n">
        <x:f>'02a n'!C162</x:f>
        <x:v>0</x:v>
      </x:c>
      <x:c r="I162" t="n">
        <x:f>'02a n'!D162</x:f>
        <x:v>0</x:v>
      </x:c>
      <x:c r="J162" t="n">
        <x:f>'02a n'!E162</x:f>
        <x:v>0</x:v>
      </x:c>
      <x:c r="K162" t="n">
        <x:f>'02a n'!F162</x:f>
        <x:v>0</x:v>
      </x:c>
      <x:c r="L162" t="n">
        <x:f>'02a n'!G162</x:f>
        <x:v>0</x:v>
      </x:c>
      <x:c r="M162" t="n">
        <x:f>'02b n^-1'!C162</x:f>
        <x:v>1</x:v>
      </x:c>
      <x:c r="N162" t="n">
        <x:f>'02b n^-1'!D162</x:f>
        <x:v>0</x:v>
      </x:c>
      <x:c r="O162" t="n">
        <x:f>'02b n^-1'!E162</x:f>
        <x:v>0</x:v>
      </x:c>
      <x:c r="P162" t="n">
        <x:f>'02b n^-1'!F162</x:f>
        <x:v>0</x:v>
      </x:c>
      <x:c r="Q162" t="n">
        <x:f>'02b n^-1'!G162</x:f>
        <x:v>0</x:v>
      </x:c>
      <x:c r="R162" t="n">
        <x:f>'02b n^-1'!H162</x:f>
        <x:v>0</x:v>
      </x:c>
      <x:c r="S162" s="12" t="n">
        <x:f>'02c n^-2'!C162</x:f>
        <x:v>0.16666666666666666</x:v>
      </x:c>
      <x:c r="T162" t="n">
        <x:f>'02c n^-2'!D162</x:f>
        <x:v>0</x:v>
      </x:c>
      <x:c r="U162" t="n">
        <x:f>'05 Gate Output'!H162</x:f>
        <x:v>1</x:v>
      </x:c>
      <x:c r="V162" t="n">
        <x:f>'05 Gate Output'!I162</x:f>
        <x:v>0</x:v>
      </x:c>
      <x:c r="W162" t="n">
        <x:f>'05 Gate Output'!J162</x:f>
        <x:v>0</x:v>
      </x:c>
      <x:c r="X162" t="n">
        <x:f>'05 Gate Output'!K162</x:f>
        <x:v>0</x:v>
      </x:c>
      <x:c r="Y162" t="n">
        <x:f>'05 Gate Output'!L162</x:f>
        <x:v>0</x:v>
      </x:c>
      <x:c r="Z162" t="n">
        <x:f>'05 Gate Output'!M162</x:f>
        <x:v>0</x:v>
      </x:c>
    </x:row>
    <x:row r="163">
      <x:c r="A163" t="n">
        <x:f>'01 Sensory Input'!A163</x:f>
        <x:v>8</x:v>
      </x:c>
      <x:c r="B163" t="n">
        <x:f>'01 Sensory Input'!B163</x:f>
        <x:v>18</x:v>
      </x:c>
      <x:c r="C163" s="12" t="n">
        <x:f>'01 Sensory Input'!C163</x:f>
        <x:v>0.45</x:v>
      </x:c>
      <x:c r="D163" s="12" t="n">
        <x:f>'01 Sensory Input'!D163</x:f>
        <x:v>0.4</x:v>
      </x:c>
      <x:c r="E163" s="12" t="n">
        <x:f>'01 Sensory Input'!E163</x:f>
        <x:v>0.95</x:v>
      </x:c>
      <x:c r="F163" s="12" t="n">
        <x:f>'01 Sensory Input'!F163</x:f>
        <x:v>0.3</x:v>
      </x:c>
      <x:c r="G163" s="12" t="n">
        <x:f>'01 Sensory Input'!G163</x:f>
        <x:v>0.85</x:v>
      </x:c>
      <x:c r="H163" t="n">
        <x:f>'02a n'!C163</x:f>
        <x:v>0</x:v>
      </x:c>
      <x:c r="I163" t="n">
        <x:f>'02a n'!D163</x:f>
        <x:v>0</x:v>
      </x:c>
      <x:c r="J163" t="n">
        <x:f>'02a n'!E163</x:f>
        <x:v>0</x:v>
      </x:c>
      <x:c r="K163" t="n">
        <x:f>'02a n'!F163</x:f>
        <x:v>0</x:v>
      </x:c>
      <x:c r="L163" t="n">
        <x:f>'02a n'!G163</x:f>
        <x:v>0</x:v>
      </x:c>
      <x:c r="M163" t="n">
        <x:f>'02b n^-1'!C163</x:f>
        <x:v>0</x:v>
      </x:c>
      <x:c r="N163" t="n">
        <x:f>'02b n^-1'!D163</x:f>
        <x:v>0</x:v>
      </x:c>
      <x:c r="O163" t="n">
        <x:f>'02b n^-1'!E163</x:f>
        <x:v>1</x:v>
      </x:c>
      <x:c r="P163" t="n">
        <x:f>'02b n^-1'!F163</x:f>
        <x:v>0</x:v>
      </x:c>
      <x:c r="Q163" t="n">
        <x:f>'02b n^-1'!G163</x:f>
        <x:v>1</x:v>
      </x:c>
      <x:c r="R163" t="n">
        <x:f>'02b n^-1'!H163</x:f>
        <x:v>1</x:v>
      </x:c>
      <x:c r="S163" s="12" t="n">
        <x:f>'02c n^-2'!C163</x:f>
        <x:v>0.5</x:v>
      </x:c>
      <x:c r="T163" t="n">
        <x:f>'02c n^-2'!D163</x:f>
        <x:v>1</x:v>
      </x:c>
      <x:c r="U163" t="n">
        <x:f>'05 Gate Output'!H163</x:f>
        <x:v>0</x:v>
      </x:c>
      <x:c r="V163" t="n">
        <x:f>'05 Gate Output'!I163</x:f>
        <x:v>1</x:v>
      </x:c>
      <x:c r="W163" t="n">
        <x:f>'05 Gate Output'!J163</x:f>
        <x:v>1</x:v>
      </x:c>
      <x:c r="X163" t="n">
        <x:f>'05 Gate Output'!K163</x:f>
        <x:v>1</x:v>
      </x:c>
      <x:c r="Y163" t="n">
        <x:f>'05 Gate Output'!L163</x:f>
        <x:v>0</x:v>
      </x:c>
      <x:c r="Z163" t="n">
        <x:f>'05 Gate Output'!M163</x:f>
        <x:v>1</x:v>
      </x:c>
    </x:row>
    <x:row r="164">
      <x:c r="A164" t="n">
        <x:f>'01 Sensory Input'!A164</x:f>
        <x:v>8</x:v>
      </x:c>
      <x:c r="B164" t="n">
        <x:f>'01 Sensory Input'!B164</x:f>
        <x:v>19</x:v>
      </x:c>
      <x:c r="C164" s="12" t="n">
        <x:f>'01 Sensory Input'!C164</x:f>
        <x:v>0.45</x:v>
      </x:c>
      <x:c r="D164" s="12" t="n">
        <x:f>'01 Sensory Input'!D164</x:f>
        <x:v>0.4</x:v>
      </x:c>
      <x:c r="E164" s="12" t="n">
        <x:f>'01 Sensory Input'!E164</x:f>
        <x:v>0.35</x:v>
      </x:c>
      <x:c r="F164" s="12" t="n">
        <x:f>'01 Sensory Input'!F164</x:f>
        <x:v>0.3</x:v>
      </x:c>
      <x:c r="G164" s="12" t="n">
        <x:f>'01 Sensory Input'!G164</x:f>
        <x:v>0.25</x:v>
      </x:c>
      <x:c r="H164" t="n">
        <x:f>'02a n'!C164</x:f>
        <x:v>0</x:v>
      </x:c>
      <x:c r="I164" t="n">
        <x:f>'02a n'!D164</x:f>
        <x:v>0</x:v>
      </x:c>
      <x:c r="J164" t="n">
        <x:f>'02a n'!E164</x:f>
        <x:v>0</x:v>
      </x:c>
      <x:c r="K164" t="n">
        <x:f>'02a n'!F164</x:f>
        <x:v>0</x:v>
      </x:c>
      <x:c r="L164" t="n">
        <x:f>'02a n'!G164</x:f>
        <x:v>0</x:v>
      </x:c>
      <x:c r="M164" t="n">
        <x:f>'02b n^-1'!C164</x:f>
        <x:v>0</x:v>
      </x:c>
      <x:c r="N164" t="n">
        <x:f>'02b n^-1'!D164</x:f>
        <x:v>0</x:v>
      </x:c>
      <x:c r="O164" t="n">
        <x:f>'02b n^-1'!E164</x:f>
        <x:v>1</x:v>
      </x:c>
      <x:c r="P164" t="n">
        <x:f>'02b n^-1'!F164</x:f>
        <x:v>0</x:v>
      </x:c>
      <x:c r="Q164" t="n">
        <x:f>'02b n^-1'!G164</x:f>
        <x:v>1</x:v>
      </x:c>
      <x:c r="R164" t="n">
        <x:f>'02b n^-1'!H164</x:f>
        <x:v>1</x:v>
      </x:c>
      <x:c r="S164" s="12" t="n">
        <x:f>'02c n^-2'!C164</x:f>
        <x:v>0.5</x:v>
      </x:c>
      <x:c r="T164" t="n">
        <x:f>'02c n^-2'!D164</x:f>
        <x:v>0</x:v>
      </x:c>
      <x:c r="U164" t="n">
        <x:f>'05 Gate Output'!H164</x:f>
        <x:v>0</x:v>
      </x:c>
      <x:c r="V164" t="n">
        <x:f>'05 Gate Output'!I164</x:f>
        <x:v>1</x:v>
      </x:c>
      <x:c r="W164" t="n">
        <x:f>'05 Gate Output'!J164</x:f>
        <x:v>1</x:v>
      </x:c>
      <x:c r="X164" t="n">
        <x:f>'05 Gate Output'!K164</x:f>
        <x:v>1</x:v>
      </x:c>
      <x:c r="Y164" t="n">
        <x:f>'05 Gate Output'!L164</x:f>
        <x:v>0</x:v>
      </x:c>
      <x:c r="Z164" t="n">
        <x:f>'05 Gate Output'!M164</x:f>
        <x:v>1</x:v>
      </x:c>
    </x:row>
    <x:row r="165">
      <x:c r="A165" t="n">
        <x:f>'01 Sensory Input'!A165</x:f>
        <x:v>8</x:v>
      </x:c>
      <x:c r="B165" t="n">
        <x:f>'01 Sensory Input'!B165</x:f>
        <x:v>20</x:v>
      </x:c>
      <x:c r="C165" s="12" t="n">
        <x:f>'01 Sensory Input'!C165</x:f>
        <x:v>1</x:v>
      </x:c>
      <x:c r="D165" s="12" t="n">
        <x:f>'01 Sensory Input'!D165</x:f>
        <x:v>1</x:v>
      </x:c>
      <x:c r="E165" s="12" t="n">
        <x:f>'01 Sensory Input'!E165</x:f>
        <x:v>0.35</x:v>
      </x:c>
      <x:c r="F165" s="12" t="n">
        <x:f>'01 Sensory Input'!F165</x:f>
        <x:v>0.3</x:v>
      </x:c>
      <x:c r="G165" s="12" t="n">
        <x:f>'01 Sensory Input'!G165</x:f>
        <x:v>0.25</x:v>
      </x:c>
      <x:c r="H165" t="n">
        <x:f>'02a n'!C165</x:f>
        <x:v>1</x:v>
      </x:c>
      <x:c r="I165" t="n">
        <x:f>'02a n'!D165</x:f>
        <x:v>1</x:v>
      </x:c>
      <x:c r="J165" t="n">
        <x:f>'02a n'!E165</x:f>
        <x:v>0</x:v>
      </x:c>
      <x:c r="K165" t="n">
        <x:f>'02a n'!F165</x:f>
        <x:v>0</x:v>
      </x:c>
      <x:c r="L165" t="n">
        <x:f>'02a n'!G165</x:f>
        <x:v>0</x:v>
      </x:c>
      <x:c r="M165" t="n">
        <x:f>'02b n^-1'!C165</x:f>
        <x:v>1</x:v>
      </x:c>
      <x:c r="N165" t="n">
        <x:f>'02b n^-1'!D165</x:f>
        <x:v>1</x:v>
      </x:c>
      <x:c r="O165" t="n">
        <x:f>'02b n^-1'!E165</x:f>
        <x:v>0</x:v>
      </x:c>
      <x:c r="P165" t="n">
        <x:f>'02b n^-1'!F165</x:f>
        <x:v>0</x:v>
      </x:c>
      <x:c r="Q165" t="n">
        <x:f>'02b n^-1'!G165</x:f>
        <x:v>0</x:v>
      </x:c>
      <x:c r="R165" t="n">
        <x:f>'02b n^-1'!H165</x:f>
        <x:v>1</x:v>
      </x:c>
      <x:c r="S165" s="12" t="n">
        <x:f>'02c n^-2'!C165</x:f>
        <x:v>0.5</x:v>
      </x:c>
      <x:c r="T165" t="n">
        <x:f>'02c n^-2'!D165</x:f>
        <x:v>0</x:v>
      </x:c>
      <x:c r="U165" t="n">
        <x:f>'05 Gate Output'!H165</x:f>
        <x:v>0</x:v>
      </x:c>
      <x:c r="V165" t="n">
        <x:f>'05 Gate Output'!I165</x:f>
        <x:v>1</x:v>
      </x:c>
      <x:c r="W165" t="n">
        <x:f>'05 Gate Output'!J165</x:f>
        <x:v>1</x:v>
      </x:c>
      <x:c r="X165" t="n">
        <x:f>'05 Gate Output'!K165</x:f>
        <x:v>1</x:v>
      </x:c>
      <x:c r="Y165" t="n">
        <x:f>'05 Gate Output'!L165</x:f>
        <x:v>0</x:v>
      </x:c>
      <x:c r="Z165" t="n">
        <x:f>'05 Gate Output'!M165</x:f>
        <x:v>1</x:v>
      </x:c>
    </x:row>
    <x:row r="166">
      <x:c r="A166" t="n">
        <x:f>'01 Sensory Input'!A166</x:f>
        <x:v>9</x:v>
      </x:c>
      <x:c r="B166" t="n">
        <x:f>'01 Sensory Input'!B166</x:f>
        <x:v>1</x:v>
      </x:c>
      <x:c r="C166" s="12" t="n">
        <x:f>'01 Sensory Input'!C166</x:f>
        <x:v>0.15</x:v>
      </x:c>
      <x:c r="D166" s="12" t="n">
        <x:f>'01 Sensory Input'!D166</x:f>
        <x:v>0.25</x:v>
      </x:c>
      <x:c r="E166" s="12" t="n">
        <x:f>'01 Sensory Input'!E166</x:f>
        <x:v>0.35</x:v>
      </x:c>
      <x:c r="F166" s="12" t="n">
        <x:f>'01 Sensory Input'!F166</x:f>
        <x:v>0.45</x:v>
      </x:c>
      <x:c r="G166" s="12" t="n">
        <x:f>'01 Sensory Input'!G166</x:f>
        <x:v>0.55</x:v>
      </x:c>
      <x:c r="H166" t="n">
        <x:f>'02a n'!C166</x:f>
        <x:v>0</x:v>
      </x:c>
      <x:c r="I166" t="n">
        <x:f>'02a n'!D166</x:f>
        <x:v>0</x:v>
      </x:c>
      <x:c r="J166" t="n">
        <x:f>'02a n'!E166</x:f>
        <x:v>0</x:v>
      </x:c>
      <x:c r="K166" t="n">
        <x:f>'02a n'!F166</x:f>
        <x:v>0</x:v>
      </x:c>
      <x:c r="L166" t="n">
        <x:f>'02a n'!G166</x:f>
        <x:v>0</x:v>
      </x:c>
      <x:c r="M166" t="n">
        <x:f>'02b n^-1'!C166</x:f>
        <x:v>0</x:v>
      </x:c>
      <x:c r="N166" t="n">
        <x:f>'02b n^-1'!D166</x:f>
        <x:v>0</x:v>
      </x:c>
      <x:c r="O166" t="n">
        <x:f>'02b n^-1'!E166</x:f>
        <x:v>0</x:v>
      </x:c>
      <x:c r="P166" t="n">
        <x:f>'02b n^-1'!F166</x:f>
        <x:v>0</x:v>
      </x:c>
      <x:c r="Q166" t="n">
        <x:f>'02b n^-1'!G166</x:f>
        <x:v>0</x:v>
      </x:c>
      <x:c r="R166" t="n">
        <x:f>'02b n^-1'!H166</x:f>
        <x:v>0</x:v>
      </x:c>
      <x:c r="S166" s="12" t="n">
        <x:f>'02c n^-2'!C166</x:f>
        <x:v>0</x:v>
      </x:c>
      <x:c r="T166" t="n">
        <x:f>'02c n^-2'!D166</x:f>
        <x:v>0</x:v>
      </x:c>
      <x:c r="U166" t="n">
        <x:f>'05 Gate Output'!H166</x:f>
        <x:v>1</x:v>
      </x:c>
      <x:c r="V166" t="n">
        <x:f>'05 Gate Output'!I166</x:f>
        <x:v>0</x:v>
      </x:c>
      <x:c r="W166" t="n">
        <x:f>'05 Gate Output'!J166</x:f>
        <x:v>0</x:v>
      </x:c>
      <x:c r="X166" t="n">
        <x:f>'05 Gate Output'!K166</x:f>
        <x:v>0</x:v>
      </x:c>
      <x:c r="Y166" t="n">
        <x:f>'05 Gate Output'!L166</x:f>
        <x:v>0</x:v>
      </x:c>
      <x:c r="Z166" t="n">
        <x:f>'05 Gate Output'!M166</x:f>
        <x:v>0</x:v>
      </x:c>
    </x:row>
    <x:row r="167">
      <x:c r="A167" t="n">
        <x:f>'01 Sensory Input'!A167</x:f>
        <x:v>9</x:v>
      </x:c>
      <x:c r="B167" t="n">
        <x:f>'01 Sensory Input'!B167</x:f>
        <x:v>2</x:v>
      </x:c>
      <x:c r="C167" s="12" t="n">
        <x:f>'01 Sensory Input'!C167</x:f>
        <x:v>1</x:v>
      </x:c>
      <x:c r="D167" s="12" t="n">
        <x:f>'01 Sensory Input'!D167</x:f>
        <x:v>0.25</x:v>
      </x:c>
      <x:c r="E167" s="12" t="n">
        <x:f>'01 Sensory Input'!E167</x:f>
        <x:v>0.35</x:v>
      </x:c>
      <x:c r="F167" s="12" t="n">
        <x:f>'01 Sensory Input'!F167</x:f>
        <x:v>0.45</x:v>
      </x:c>
      <x:c r="G167" s="12" t="n">
        <x:f>'01 Sensory Input'!G167</x:f>
        <x:v>0.55</x:v>
      </x:c>
      <x:c r="H167" t="n">
        <x:f>'02a n'!C167</x:f>
        <x:v>1</x:v>
      </x:c>
      <x:c r="I167" t="n">
        <x:f>'02a n'!D167</x:f>
        <x:v>0</x:v>
      </x:c>
      <x:c r="J167" t="n">
        <x:f>'02a n'!E167</x:f>
        <x:v>0</x:v>
      </x:c>
      <x:c r="K167" t="n">
        <x:f>'02a n'!F167</x:f>
        <x:v>0</x:v>
      </x:c>
      <x:c r="L167" t="n">
        <x:f>'02a n'!G167</x:f>
        <x:v>0</x:v>
      </x:c>
      <x:c r="M167" t="n">
        <x:f>'02b n^-1'!C167</x:f>
        <x:v>1</x:v>
      </x:c>
      <x:c r="N167" t="n">
        <x:f>'02b n^-1'!D167</x:f>
        <x:v>0</x:v>
      </x:c>
      <x:c r="O167" t="n">
        <x:f>'02b n^-1'!E167</x:f>
        <x:v>0</x:v>
      </x:c>
      <x:c r="P167" t="n">
        <x:f>'02b n^-1'!F167</x:f>
        <x:v>0</x:v>
      </x:c>
      <x:c r="Q167" t="n">
        <x:f>'02b n^-1'!G167</x:f>
        <x:v>0</x:v>
      </x:c>
      <x:c r="R167" t="n">
        <x:f>'02b n^-1'!H167</x:f>
        <x:v>0</x:v>
      </x:c>
      <x:c r="S167" s="12" t="n">
        <x:f>'02c n^-2'!C167</x:f>
        <x:v>0.16666666666666666</x:v>
      </x:c>
      <x:c r="T167" t="n">
        <x:f>'02c n^-2'!D167</x:f>
        <x:v>1</x:v>
      </x:c>
      <x:c r="U167" t="n">
        <x:f>'05 Gate Output'!H167</x:f>
        <x:v>0</x:v>
      </x:c>
      <x:c r="V167" t="n">
        <x:f>'05 Gate Output'!I167</x:f>
        <x:v>1</x:v>
      </x:c>
      <x:c r="W167" t="n">
        <x:f>'05 Gate Output'!J167</x:f>
        <x:v>1</x:v>
      </x:c>
      <x:c r="X167" t="n">
        <x:f>'05 Gate Output'!K167</x:f>
        <x:v>1</x:v>
      </x:c>
      <x:c r="Y167" t="n">
        <x:f>'05 Gate Output'!L167</x:f>
        <x:v>0</x:v>
      </x:c>
      <x:c r="Z167" t="n">
        <x:f>'05 Gate Output'!M167</x:f>
        <x:v>1</x:v>
      </x:c>
    </x:row>
    <x:row r="168">
      <x:c r="A168" t="n">
        <x:f>'01 Sensory Input'!A168</x:f>
        <x:v>9</x:v>
      </x:c>
      <x:c r="B168" t="n">
        <x:f>'01 Sensory Input'!B168</x:f>
        <x:v>3</x:v>
      </x:c>
      <x:c r="C168" s="12" t="n">
        <x:f>'01 Sensory Input'!C168</x:f>
        <x:v>0.15</x:v>
      </x:c>
      <x:c r="D168" s="12" t="n">
        <x:f>'01 Sensory Input'!D168</x:f>
        <x:v>0.95</x:v>
      </x:c>
      <x:c r="E168" s="12" t="n">
        <x:f>'01 Sensory Input'!E168</x:f>
        <x:v>0.35</x:v>
      </x:c>
      <x:c r="F168" s="12" t="n">
        <x:f>'01 Sensory Input'!F168</x:f>
        <x:v>0.45</x:v>
      </x:c>
      <x:c r="G168" s="12" t="n">
        <x:f>'01 Sensory Input'!G168</x:f>
        <x:v>0.55</x:v>
      </x:c>
      <x:c r="H168" t="n">
        <x:f>'02a n'!C168</x:f>
        <x:v>0</x:v>
      </x:c>
      <x:c r="I168" t="n">
        <x:f>'02a n'!D168</x:f>
        <x:v>0</x:v>
      </x:c>
      <x:c r="J168" t="n">
        <x:f>'02a n'!E168</x:f>
        <x:v>0</x:v>
      </x:c>
      <x:c r="K168" t="n">
        <x:f>'02a n'!F168</x:f>
        <x:v>0</x:v>
      </x:c>
      <x:c r="L168" t="n">
        <x:f>'02a n'!G168</x:f>
        <x:v>0</x:v>
      </x:c>
      <x:c r="M168" t="n">
        <x:f>'02b n^-1'!C168</x:f>
        <x:v>1</x:v>
      </x:c>
      <x:c r="N168" t="n">
        <x:f>'02b n^-1'!D168</x:f>
        <x:v>1</x:v>
      </x:c>
      <x:c r="O168" t="n">
        <x:f>'02b n^-1'!E168</x:f>
        <x:v>0</x:v>
      </x:c>
      <x:c r="P168" t="n">
        <x:f>'02b n^-1'!F168</x:f>
        <x:v>0</x:v>
      </x:c>
      <x:c r="Q168" t="n">
        <x:f>'02b n^-1'!G168</x:f>
        <x:v>0</x:v>
      </x:c>
      <x:c r="R168" t="n">
        <x:f>'02b n^-1'!H168</x:f>
        <x:v>1</x:v>
      </x:c>
      <x:c r="S168" s="12" t="n">
        <x:f>'02c n^-2'!C168</x:f>
        <x:v>0.5</x:v>
      </x:c>
      <x:c r="T168" t="n">
        <x:f>'02c n^-2'!D168</x:f>
        <x:v>1</x:v>
      </x:c>
      <x:c r="U168" t="n">
        <x:f>'05 Gate Output'!H168</x:f>
        <x:v>0</x:v>
      </x:c>
      <x:c r="V168" t="n">
        <x:f>'05 Gate Output'!I168</x:f>
        <x:v>1</x:v>
      </x:c>
      <x:c r="W168" t="n">
        <x:f>'05 Gate Output'!J168</x:f>
        <x:v>1</x:v>
      </x:c>
      <x:c r="X168" t="n">
        <x:f>'05 Gate Output'!K168</x:f>
        <x:v>1</x:v>
      </x:c>
      <x:c r="Y168" t="n">
        <x:f>'05 Gate Output'!L168</x:f>
        <x:v>0</x:v>
      </x:c>
      <x:c r="Z168" t="n">
        <x:f>'05 Gate Output'!M168</x:f>
        <x:v>1</x:v>
      </x:c>
    </x:row>
    <x:row r="169">
      <x:c r="A169" t="n">
        <x:f>'01 Sensory Input'!A169</x:f>
        <x:v>9</x:v>
      </x:c>
      <x:c r="B169" t="n">
        <x:f>'01 Sensory Input'!B169</x:f>
        <x:v>4</x:v>
      </x:c>
      <x:c r="C169" s="12" t="n">
        <x:f>'01 Sensory Input'!C169</x:f>
        <x:v>1</x:v>
      </x:c>
      <x:c r="D169" s="12" t="n">
        <x:f>'01 Sensory Input'!D169</x:f>
        <x:v>0.25</x:v>
      </x:c>
      <x:c r="E169" s="12" t="n">
        <x:f>'01 Sensory Input'!E169</x:f>
        <x:v>1</x:v>
      </x:c>
      <x:c r="F169" s="12" t="n">
        <x:f>'01 Sensory Input'!F169</x:f>
        <x:v>0.45</x:v>
      </x:c>
      <x:c r="G169" s="12" t="n">
        <x:f>'01 Sensory Input'!G169</x:f>
        <x:v>0.55</x:v>
      </x:c>
      <x:c r="H169" t="n">
        <x:f>'02a n'!C169</x:f>
        <x:v>1</x:v>
      </x:c>
      <x:c r="I169" t="n">
        <x:f>'02a n'!D169</x:f>
        <x:v>0</x:v>
      </x:c>
      <x:c r="J169" t="n">
        <x:f>'02a n'!E169</x:f>
        <x:v>1</x:v>
      </x:c>
      <x:c r="K169" t="n">
        <x:f>'02a n'!F169</x:f>
        <x:v>0</x:v>
      </x:c>
      <x:c r="L169" t="n">
        <x:f>'02a n'!G169</x:f>
        <x:v>0</x:v>
      </x:c>
      <x:c r="M169" t="n">
        <x:f>'02b n^-1'!C169</x:f>
        <x:v>1</x:v>
      </x:c>
      <x:c r="N169" t="n">
        <x:f>'02b n^-1'!D169</x:f>
        <x:v>1</x:v>
      </x:c>
      <x:c r="O169" t="n">
        <x:f>'02b n^-1'!E169</x:f>
        <x:v>1</x:v>
      </x:c>
      <x:c r="P169" t="n">
        <x:f>'02b n^-1'!F169</x:f>
        <x:v>0</x:v>
      </x:c>
      <x:c r="Q169" t="n">
        <x:f>'02b n^-1'!G169</x:f>
        <x:v>0</x:v>
      </x:c>
      <x:c r="R169" t="n">
        <x:f>'02b n^-1'!H169</x:f>
        <x:v>1</x:v>
      </x:c>
      <x:c r="S169" s="12" t="n">
        <x:f>'02c n^-2'!C169</x:f>
        <x:v>0.6666666666666666</x:v>
      </x:c>
      <x:c r="T169" t="n">
        <x:f>'02c n^-2'!D169</x:f>
        <x:v>1</x:v>
      </x:c>
      <x:c r="U169" t="n">
        <x:f>'05 Gate Output'!H169</x:f>
        <x:v>0</x:v>
      </x:c>
      <x:c r="V169" t="n">
        <x:f>'05 Gate Output'!I169</x:f>
        <x:v>1</x:v>
      </x:c>
      <x:c r="W169" t="n">
        <x:f>'05 Gate Output'!J169</x:f>
        <x:v>1</x:v>
      </x:c>
      <x:c r="X169" t="n">
        <x:f>'05 Gate Output'!K169</x:f>
        <x:v>1</x:v>
      </x:c>
      <x:c r="Y169" t="n">
        <x:f>'05 Gate Output'!L169</x:f>
        <x:v>0</x:v>
      </x:c>
      <x:c r="Z169" t="n">
        <x:f>'05 Gate Output'!M169</x:f>
        <x:v>1</x:v>
      </x:c>
    </x:row>
    <x:row r="170">
      <x:c r="A170" t="n">
        <x:f>'01 Sensory Input'!A170</x:f>
        <x:v>9</x:v>
      </x:c>
      <x:c r="B170" t="n">
        <x:f>'01 Sensory Input'!B170</x:f>
        <x:v>5</x:v>
      </x:c>
      <x:c r="C170" s="12" t="n">
        <x:f>'01 Sensory Input'!C170</x:f>
        <x:v>0.15</x:v>
      </x:c>
      <x:c r="D170" s="12" t="n">
        <x:f>'01 Sensory Input'!D170</x:f>
        <x:v>0.25</x:v>
      </x:c>
      <x:c r="E170" s="12" t="n">
        <x:f>'01 Sensory Input'!E170</x:f>
        <x:v>0.35</x:v>
      </x:c>
      <x:c r="F170" s="12" t="n">
        <x:f>'01 Sensory Input'!F170</x:f>
        <x:v>0.98</x:v>
      </x:c>
      <x:c r="G170" s="12" t="n">
        <x:f>'01 Sensory Input'!G170</x:f>
        <x:v>0.55</x:v>
      </x:c>
      <x:c r="H170" t="n">
        <x:f>'02a n'!C170</x:f>
        <x:v>0</x:v>
      </x:c>
      <x:c r="I170" t="n">
        <x:f>'02a n'!D170</x:f>
        <x:v>0</x:v>
      </x:c>
      <x:c r="J170" t="n">
        <x:f>'02a n'!E170</x:f>
        <x:v>0</x:v>
      </x:c>
      <x:c r="K170" t="n">
        <x:f>'02a n'!F170</x:f>
        <x:v>0</x:v>
      </x:c>
      <x:c r="L170" t="n">
        <x:f>'02a n'!G170</x:f>
        <x:v>0</x:v>
      </x:c>
      <x:c r="M170" t="n">
        <x:f>'02b n^-1'!C170</x:f>
        <x:v>1</x:v>
      </x:c>
      <x:c r="N170" t="n">
        <x:f>'02b n^-1'!D170</x:f>
        <x:v>0</x:v>
      </x:c>
      <x:c r="O170" t="n">
        <x:f>'02b n^-1'!E170</x:f>
        <x:v>1</x:v>
      </x:c>
      <x:c r="P170" t="n">
        <x:f>'02b n^-1'!F170</x:f>
        <x:v>1</x:v>
      </x:c>
      <x:c r="Q170" t="n">
        <x:f>'02b n^-1'!G170</x:f>
        <x:v>0</x:v>
      </x:c>
      <x:c r="R170" t="n">
        <x:f>'02b n^-1'!H170</x:f>
        <x:v>1</x:v>
      </x:c>
      <x:c r="S170" s="12" t="n">
        <x:f>'02c n^-2'!C170</x:f>
        <x:v>0.6666666666666666</x:v>
      </x:c>
      <x:c r="T170" t="n">
        <x:f>'02c n^-2'!D170</x:f>
        <x:v>0</x:v>
      </x:c>
      <x:c r="U170" t="n">
        <x:f>'05 Gate Output'!H170</x:f>
        <x:v>0</x:v>
      </x:c>
      <x:c r="V170" t="n">
        <x:f>'05 Gate Output'!I170</x:f>
        <x:v>1</x:v>
      </x:c>
      <x:c r="W170" t="n">
        <x:f>'05 Gate Output'!J170</x:f>
        <x:v>1</x:v>
      </x:c>
      <x:c r="X170" t="n">
        <x:f>'05 Gate Output'!K170</x:f>
        <x:v>1</x:v>
      </x:c>
      <x:c r="Y170" t="n">
        <x:f>'05 Gate Output'!L170</x:f>
        <x:v>0</x:v>
      </x:c>
      <x:c r="Z170" t="n">
        <x:f>'05 Gate Output'!M170</x:f>
        <x:v>1</x:v>
      </x:c>
    </x:row>
    <x:row r="171">
      <x:c r="A171" t="n">
        <x:f>'01 Sensory Input'!A171</x:f>
        <x:v>9</x:v>
      </x:c>
      <x:c r="B171" t="n">
        <x:f>'01 Sensory Input'!B171</x:f>
        <x:v>6</x:v>
      </x:c>
      <x:c r="C171" s="12" t="n">
        <x:f>'01 Sensory Input'!C171</x:f>
        <x:v>1</x:v>
      </x:c>
      <x:c r="D171" s="12" t="n">
        <x:f>'01 Sensory Input'!D171</x:f>
        <x:v>0.95</x:v>
      </x:c>
      <x:c r="E171" s="12" t="n">
        <x:f>'01 Sensory Input'!E171</x:f>
        <x:v>0.35</x:v>
      </x:c>
      <x:c r="F171" s="12" t="n">
        <x:f>'01 Sensory Input'!F171</x:f>
        <x:v>0.45</x:v>
      </x:c>
      <x:c r="G171" s="12" t="n">
        <x:f>'01 Sensory Input'!G171</x:f>
        <x:v>1</x:v>
      </x:c>
      <x:c r="H171" t="n">
        <x:f>'02a n'!C171</x:f>
        <x:v>1</x:v>
      </x:c>
      <x:c r="I171" t="n">
        <x:f>'02a n'!D171</x:f>
        <x:v>0</x:v>
      </x:c>
      <x:c r="J171" t="n">
        <x:f>'02a n'!E171</x:f>
        <x:v>0</x:v>
      </x:c>
      <x:c r="K171" t="n">
        <x:f>'02a n'!F171</x:f>
        <x:v>0</x:v>
      </x:c>
      <x:c r="L171" t="n">
        <x:f>'02a n'!G171</x:f>
        <x:v>1</x:v>
      </x:c>
      <x:c r="M171" t="n">
        <x:f>'02b n^-1'!C171</x:f>
        <x:v>1</x:v>
      </x:c>
      <x:c r="N171" t="n">
        <x:f>'02b n^-1'!D171</x:f>
        <x:v>1</x:v>
      </x:c>
      <x:c r="O171" t="n">
        <x:f>'02b n^-1'!E171</x:f>
        <x:v>0</x:v>
      </x:c>
      <x:c r="P171" t="n">
        <x:f>'02b n^-1'!F171</x:f>
        <x:v>1</x:v>
      </x:c>
      <x:c r="Q171" t="n">
        <x:f>'02b n^-1'!G171</x:f>
        <x:v>0</x:v>
      </x:c>
      <x:c r="R171" t="n">
        <x:f>'02b n^-1'!H171</x:f>
        <x:v>1</x:v>
      </x:c>
      <x:c r="S171" s="12" t="n">
        <x:f>'02c n^-2'!C171</x:f>
        <x:v>0.6666666666666666</x:v>
      </x:c>
      <x:c r="T171" t="n">
        <x:f>'02c n^-2'!D171</x:f>
        <x:v>0</x:v>
      </x:c>
      <x:c r="U171" t="n">
        <x:f>'05 Gate Output'!H171</x:f>
        <x:v>0</x:v>
      </x:c>
      <x:c r="V171" t="n">
        <x:f>'05 Gate Output'!I171</x:f>
        <x:v>1</x:v>
      </x:c>
      <x:c r="W171" t="n">
        <x:f>'05 Gate Output'!J171</x:f>
        <x:v>1</x:v>
      </x:c>
      <x:c r="X171" t="n">
        <x:f>'05 Gate Output'!K171</x:f>
        <x:v>1</x:v>
      </x:c>
      <x:c r="Y171" t="n">
        <x:f>'05 Gate Output'!L171</x:f>
        <x:v>0</x:v>
      </x:c>
      <x:c r="Z171" t="n">
        <x:f>'05 Gate Output'!M171</x:f>
        <x:v>1</x:v>
      </x:c>
    </x:row>
    <x:row r="172">
      <x:c r="A172" t="n">
        <x:f>'01 Sensory Input'!A172</x:f>
        <x:v>9</x:v>
      </x:c>
      <x:c r="B172" t="n">
        <x:f>'01 Sensory Input'!B172</x:f>
        <x:v>7</x:v>
      </x:c>
      <x:c r="C172" s="12" t="n">
        <x:f>'01 Sensory Input'!C172</x:f>
        <x:v>0.05</x:v>
      </x:c>
      <x:c r="D172" s="12" t="n">
        <x:f>'01 Sensory Input'!D172</x:f>
        <x:v>0.1</x:v>
      </x:c>
      <x:c r="E172" s="12" t="n">
        <x:f>'01 Sensory Input'!E172</x:f>
        <x:v>0.15</x:v>
      </x:c>
      <x:c r="F172" s="12" t="n">
        <x:f>'01 Sensory Input'!F172</x:f>
        <x:v>0.2</x:v>
      </x:c>
      <x:c r="G172" s="12" t="n">
        <x:f>'01 Sensory Input'!G172</x:f>
        <x:v>0.25</x:v>
      </x:c>
      <x:c r="H172" t="n">
        <x:f>'02a n'!C172</x:f>
        <x:v>0</x:v>
      </x:c>
      <x:c r="I172" t="n">
        <x:f>'02a n'!D172</x:f>
        <x:v>0</x:v>
      </x:c>
      <x:c r="J172" t="n">
        <x:f>'02a n'!E172</x:f>
        <x:v>0</x:v>
      </x:c>
      <x:c r="K172" t="n">
        <x:f>'02a n'!F172</x:f>
        <x:v>0</x:v>
      </x:c>
      <x:c r="L172" t="n">
        <x:f>'02a n'!G172</x:f>
        <x:v>0</x:v>
      </x:c>
      <x:c r="M172" t="n">
        <x:f>'02b n^-1'!C172</x:f>
        <x:v>1</x:v>
      </x:c>
      <x:c r="N172" t="n">
        <x:f>'02b n^-1'!D172</x:f>
        <x:v>1</x:v>
      </x:c>
      <x:c r="O172" t="n">
        <x:f>'02b n^-1'!E172</x:f>
        <x:v>0</x:v>
      </x:c>
      <x:c r="P172" t="n">
        <x:f>'02b n^-1'!F172</x:f>
        <x:v>0</x:v>
      </x:c>
      <x:c r="Q172" t="n">
        <x:f>'02b n^-1'!G172</x:f>
        <x:v>1</x:v>
      </x:c>
      <x:c r="R172" t="n">
        <x:f>'02b n^-1'!H172</x:f>
        <x:v>1</x:v>
      </x:c>
      <x:c r="S172" s="12" t="n">
        <x:f>'02c n^-2'!C172</x:f>
        <x:v>0.6666666666666666</x:v>
      </x:c>
      <x:c r="T172" t="n">
        <x:f>'02c n^-2'!D172</x:f>
        <x:v>0</x:v>
      </x:c>
      <x:c r="U172" t="n">
        <x:f>'05 Gate Output'!H172</x:f>
        <x:v>0</x:v>
      </x:c>
      <x:c r="V172" t="n">
        <x:f>'05 Gate Output'!I172</x:f>
        <x:v>1</x:v>
      </x:c>
      <x:c r="W172" t="n">
        <x:f>'05 Gate Output'!J172</x:f>
        <x:v>1</x:v>
      </x:c>
      <x:c r="X172" t="n">
        <x:f>'05 Gate Output'!K172</x:f>
        <x:v>1</x:v>
      </x:c>
      <x:c r="Y172" t="n">
        <x:f>'05 Gate Output'!L172</x:f>
        <x:v>0</x:v>
      </x:c>
      <x:c r="Z172" t="n">
        <x:f>'05 Gate Output'!M172</x:f>
        <x:v>1</x:v>
      </x:c>
    </x:row>
    <x:row r="173">
      <x:c r="A173" t="n">
        <x:f>'01 Sensory Input'!A173</x:f>
        <x:v>9</x:v>
      </x:c>
      <x:c r="B173" t="n">
        <x:f>'01 Sensory Input'!B173</x:f>
        <x:v>8</x:v>
      </x:c>
      <x:c r="C173" s="12" t="n">
        <x:f>'01 Sensory Input'!C173</x:f>
        <x:v>1</x:v>
      </x:c>
      <x:c r="D173" s="12" t="n">
        <x:f>'01 Sensory Input'!D173</x:f>
        <x:v>0.25</x:v>
      </x:c>
      <x:c r="E173" s="12" t="n">
        <x:f>'01 Sensory Input'!E173</x:f>
        <x:v>1</x:v>
      </x:c>
      <x:c r="F173" s="12" t="n">
        <x:f>'01 Sensory Input'!F173</x:f>
        <x:v>0.45</x:v>
      </x:c>
      <x:c r="G173" s="12" t="n">
        <x:f>'01 Sensory Input'!G173</x:f>
        <x:v>0.55</x:v>
      </x:c>
      <x:c r="H173" t="n">
        <x:f>'02a n'!C173</x:f>
        <x:v>1</x:v>
      </x:c>
      <x:c r="I173" t="n">
        <x:f>'02a n'!D173</x:f>
        <x:v>0</x:v>
      </x:c>
      <x:c r="J173" t="n">
        <x:f>'02a n'!E173</x:f>
        <x:v>1</x:v>
      </x:c>
      <x:c r="K173" t="n">
        <x:f>'02a n'!F173</x:f>
        <x:v>0</x:v>
      </x:c>
      <x:c r="L173" t="n">
        <x:f>'02a n'!G173</x:f>
        <x:v>0</x:v>
      </x:c>
      <x:c r="M173" t="n">
        <x:f>'02b n^-1'!C173</x:f>
        <x:v>1</x:v>
      </x:c>
      <x:c r="N173" t="n">
        <x:f>'02b n^-1'!D173</x:f>
        <x:v>0</x:v>
      </x:c>
      <x:c r="O173" t="n">
        <x:f>'02b n^-1'!E173</x:f>
        <x:v>1</x:v>
      </x:c>
      <x:c r="P173" t="n">
        <x:f>'02b n^-1'!F173</x:f>
        <x:v>0</x:v>
      </x:c>
      <x:c r="Q173" t="n">
        <x:f>'02b n^-1'!G173</x:f>
        <x:v>0</x:v>
      </x:c>
      <x:c r="R173" t="n">
        <x:f>'02b n^-1'!H173</x:f>
        <x:v>1</x:v>
      </x:c>
      <x:c r="S173" s="12" t="n">
        <x:f>'02c n^-2'!C173</x:f>
        <x:v>0.5</x:v>
      </x:c>
      <x:c r="T173" t="n">
        <x:f>'02c n^-2'!D173</x:f>
        <x:v>1</x:v>
      </x:c>
      <x:c r="U173" t="n">
        <x:f>'05 Gate Output'!H173</x:f>
        <x:v>0</x:v>
      </x:c>
      <x:c r="V173" t="n">
        <x:f>'05 Gate Output'!I173</x:f>
        <x:v>1</x:v>
      </x:c>
      <x:c r="W173" t="n">
        <x:f>'05 Gate Output'!J173</x:f>
        <x:v>1</x:v>
      </x:c>
      <x:c r="X173" t="n">
        <x:f>'05 Gate Output'!K173</x:f>
        <x:v>1</x:v>
      </x:c>
      <x:c r="Y173" t="n">
        <x:f>'05 Gate Output'!L173</x:f>
        <x:v>0</x:v>
      </x:c>
      <x:c r="Z173" t="n">
        <x:f>'05 Gate Output'!M173</x:f>
        <x:v>1</x:v>
      </x:c>
    </x:row>
    <x:row r="174">
      <x:c r="A174" t="n">
        <x:f>'01 Sensory Input'!A174</x:f>
        <x:v>9</x:v>
      </x:c>
      <x:c r="B174" t="n">
        <x:f>'01 Sensory Input'!B174</x:f>
        <x:v>9</x:v>
      </x:c>
      <x:c r="C174" s="12" t="n">
        <x:f>'01 Sensory Input'!C174</x:f>
        <x:v>0.15</x:v>
      </x:c>
      <x:c r="D174" s="12" t="n">
        <x:f>'01 Sensory Input'!D174</x:f>
        <x:v>0.95</x:v>
      </x:c>
      <x:c r="E174" s="12" t="n">
        <x:f>'01 Sensory Input'!E174</x:f>
        <x:v>0.35</x:v>
      </x:c>
      <x:c r="F174" s="12" t="n">
        <x:f>'01 Sensory Input'!F174</x:f>
        <x:v>0.45</x:v>
      </x:c>
      <x:c r="G174" s="12" t="n">
        <x:f>'01 Sensory Input'!G174</x:f>
        <x:v>0.55</x:v>
      </x:c>
      <x:c r="H174" t="n">
        <x:f>'02a n'!C174</x:f>
        <x:v>0</x:v>
      </x:c>
      <x:c r="I174" t="n">
        <x:f>'02a n'!D174</x:f>
        <x:v>0</x:v>
      </x:c>
      <x:c r="J174" t="n">
        <x:f>'02a n'!E174</x:f>
        <x:v>0</x:v>
      </x:c>
      <x:c r="K174" t="n">
        <x:f>'02a n'!F174</x:f>
        <x:v>0</x:v>
      </x:c>
      <x:c r="L174" t="n">
        <x:f>'02a n'!G174</x:f>
        <x:v>0</x:v>
      </x:c>
      <x:c r="M174" t="n">
        <x:f>'02b n^-1'!C174</x:f>
        <x:v>1</x:v>
      </x:c>
      <x:c r="N174" t="n">
        <x:f>'02b n^-1'!D174</x:f>
        <x:v>1</x:v>
      </x:c>
      <x:c r="O174" t="n">
        <x:f>'02b n^-1'!E174</x:f>
        <x:v>1</x:v>
      </x:c>
      <x:c r="P174" t="n">
        <x:f>'02b n^-1'!F174</x:f>
        <x:v>0</x:v>
      </x:c>
      <x:c r="Q174" t="n">
        <x:f>'02b n^-1'!G174</x:f>
        <x:v>0</x:v>
      </x:c>
      <x:c r="R174" t="n">
        <x:f>'02b n^-1'!H174</x:f>
        <x:v>1</x:v>
      </x:c>
      <x:c r="S174" s="12" t="n">
        <x:f>'02c n^-2'!C174</x:f>
        <x:v>0.6666666666666666</x:v>
      </x:c>
      <x:c r="T174" t="n">
        <x:f>'02c n^-2'!D174</x:f>
        <x:v>1</x:v>
      </x:c>
      <x:c r="U174" t="n">
        <x:f>'05 Gate Output'!H174</x:f>
        <x:v>0</x:v>
      </x:c>
      <x:c r="V174" t="n">
        <x:f>'05 Gate Output'!I174</x:f>
        <x:v>1</x:v>
      </x:c>
      <x:c r="W174" t="n">
        <x:f>'05 Gate Output'!J174</x:f>
        <x:v>1</x:v>
      </x:c>
      <x:c r="X174" t="n">
        <x:f>'05 Gate Output'!K174</x:f>
        <x:v>1</x:v>
      </x:c>
      <x:c r="Y174" t="n">
        <x:f>'05 Gate Output'!L174</x:f>
        <x:v>0</x:v>
      </x:c>
      <x:c r="Z174" t="n">
        <x:f>'05 Gate Output'!M174</x:f>
        <x:v>1</x:v>
      </x:c>
    </x:row>
    <x:row r="175">
      <x:c r="A175" t="n">
        <x:f>'01 Sensory Input'!A175</x:f>
        <x:v>9</x:v>
      </x:c>
      <x:c r="B175" t="n">
        <x:f>'01 Sensory Input'!B175</x:f>
        <x:v>10</x:v>
      </x:c>
      <x:c r="C175" s="12" t="n">
        <x:f>'01 Sensory Input'!C175</x:f>
        <x:v>1</x:v>
      </x:c>
      <x:c r="D175" s="12" t="n">
        <x:f>'01 Sensory Input'!D175</x:f>
        <x:v>0.25</x:v>
      </x:c>
      <x:c r="E175" s="12" t="n">
        <x:f>'01 Sensory Input'!E175</x:f>
        <x:v>0.35</x:v>
      </x:c>
      <x:c r="F175" s="12" t="n">
        <x:f>'01 Sensory Input'!F175</x:f>
        <x:v>0.98</x:v>
      </x:c>
      <x:c r="G175" s="12" t="n">
        <x:f>'01 Sensory Input'!G175</x:f>
        <x:v>0.55</x:v>
      </x:c>
      <x:c r="H175" t="n">
        <x:f>'02a n'!C175</x:f>
        <x:v>1</x:v>
      </x:c>
      <x:c r="I175" t="n">
        <x:f>'02a n'!D175</x:f>
        <x:v>0</x:v>
      </x:c>
      <x:c r="J175" t="n">
        <x:f>'02a n'!E175</x:f>
        <x:v>0</x:v>
      </x:c>
      <x:c r="K175" t="n">
        <x:f>'02a n'!F175</x:f>
        <x:v>0</x:v>
      </x:c>
      <x:c r="L175" t="n">
        <x:f>'02a n'!G175</x:f>
        <x:v>0</x:v>
      </x:c>
      <x:c r="M175" t="n">
        <x:f>'02b n^-1'!C175</x:f>
        <x:v>1</x:v>
      </x:c>
      <x:c r="N175" t="n">
        <x:f>'02b n^-1'!D175</x:f>
        <x:v>1</x:v>
      </x:c>
      <x:c r="O175" t="n">
        <x:f>'02b n^-1'!E175</x:f>
        <x:v>0</x:v>
      </x:c>
      <x:c r="P175" t="n">
        <x:f>'02b n^-1'!F175</x:f>
        <x:v>1</x:v>
      </x:c>
      <x:c r="Q175" t="n">
        <x:f>'02b n^-1'!G175</x:f>
        <x:v>0</x:v>
      </x:c>
      <x:c r="R175" t="n">
        <x:f>'02b n^-1'!H175</x:f>
        <x:v>1</x:v>
      </x:c>
      <x:c r="S175" s="12" t="n">
        <x:f>'02c n^-2'!C175</x:f>
        <x:v>0.6666666666666666</x:v>
      </x:c>
      <x:c r="T175" t="n">
        <x:f>'02c n^-2'!D175</x:f>
        <x:v>0</x:v>
      </x:c>
      <x:c r="U175" t="n">
        <x:f>'05 Gate Output'!H175</x:f>
        <x:v>0</x:v>
      </x:c>
      <x:c r="V175" t="n">
        <x:f>'05 Gate Output'!I175</x:f>
        <x:v>1</x:v>
      </x:c>
      <x:c r="W175" t="n">
        <x:f>'05 Gate Output'!J175</x:f>
        <x:v>1</x:v>
      </x:c>
      <x:c r="X175" t="n">
        <x:f>'05 Gate Output'!K175</x:f>
        <x:v>1</x:v>
      </x:c>
      <x:c r="Y175" t="n">
        <x:f>'05 Gate Output'!L175</x:f>
        <x:v>1</x:v>
      </x:c>
      <x:c r="Z175" t="n">
        <x:f>'05 Gate Output'!M175</x:f>
        <x:v>1</x:v>
      </x:c>
    </x:row>
    <x:row r="176">
      <x:c r="A176" t="n">
        <x:f>'01 Sensory Input'!A176</x:f>
        <x:v>9</x:v>
      </x:c>
      <x:c r="B176" t="n">
        <x:f>'01 Sensory Input'!B176</x:f>
        <x:v>11</x:v>
      </x:c>
      <x:c r="C176" s="12" t="n">
        <x:f>'01 Sensory Input'!C176</x:f>
        <x:v>0.15</x:v>
      </x:c>
      <x:c r="D176" s="12" t="n">
        <x:f>'01 Sensory Input'!D176</x:f>
        <x:v>0.25</x:v>
      </x:c>
      <x:c r="E176" s="12" t="n">
        <x:f>'01 Sensory Input'!E176</x:f>
        <x:v>0.35</x:v>
      </x:c>
      <x:c r="F176" s="12" t="n">
        <x:f>'01 Sensory Input'!F176</x:f>
        <x:v>0.45</x:v>
      </x:c>
      <x:c r="G176" s="12" t="n">
        <x:f>'01 Sensory Input'!G176</x:f>
        <x:v>0.55</x:v>
      </x:c>
      <x:c r="H176" t="n">
        <x:f>'02a n'!C176</x:f>
        <x:v>0</x:v>
      </x:c>
      <x:c r="I176" t="n">
        <x:f>'02a n'!D176</x:f>
        <x:v>0</x:v>
      </x:c>
      <x:c r="J176" t="n">
        <x:f>'02a n'!E176</x:f>
        <x:v>0</x:v>
      </x:c>
      <x:c r="K176" t="n">
        <x:f>'02a n'!F176</x:f>
        <x:v>0</x:v>
      </x:c>
      <x:c r="L176" t="n">
        <x:f>'02a n'!G176</x:f>
        <x:v>0</x:v>
      </x:c>
      <x:c r="M176" t="n">
        <x:f>'02b n^-1'!C176</x:f>
        <x:v>1</x:v>
      </x:c>
      <x:c r="N176" t="n">
        <x:f>'02b n^-1'!D176</x:f>
        <x:v>0</x:v>
      </x:c>
      <x:c r="O176" t="n">
        <x:f>'02b n^-1'!E176</x:f>
        <x:v>0</x:v>
      </x:c>
      <x:c r="P176" t="n">
        <x:f>'02b n^-1'!F176</x:f>
        <x:v>1</x:v>
      </x:c>
      <x:c r="Q176" t="n">
        <x:f>'02b n^-1'!G176</x:f>
        <x:v>0</x:v>
      </x:c>
      <x:c r="R176" t="n">
        <x:f>'02b n^-1'!H176</x:f>
        <x:v>1</x:v>
      </x:c>
      <x:c r="S176" s="12" t="n">
        <x:f>'02c n^-2'!C176</x:f>
        <x:v>0.5</x:v>
      </x:c>
      <x:c r="T176" t="n">
        <x:f>'02c n^-2'!D176</x:f>
        <x:v>1</x:v>
      </x:c>
      <x:c r="U176" t="n">
        <x:f>'05 Gate Output'!H176</x:f>
        <x:v>0</x:v>
      </x:c>
      <x:c r="V176" t="n">
        <x:f>'05 Gate Output'!I176</x:f>
        <x:v>1</x:v>
      </x:c>
      <x:c r="W176" t="n">
        <x:f>'05 Gate Output'!J176</x:f>
        <x:v>1</x:v>
      </x:c>
      <x:c r="X176" t="n">
        <x:f>'05 Gate Output'!K176</x:f>
        <x:v>1</x:v>
      </x:c>
      <x:c r="Y176" t="n">
        <x:f>'05 Gate Output'!L176</x:f>
        <x:v>1</x:v>
      </x:c>
      <x:c r="Z176" t="n">
        <x:f>'05 Gate Output'!M176</x:f>
        <x:v>1</x:v>
      </x:c>
    </x:row>
    <x:row r="177">
      <x:c r="A177" t="n">
        <x:f>'01 Sensory Input'!A177</x:f>
        <x:v>9</x:v>
      </x:c>
      <x:c r="B177" t="n">
        <x:f>'01 Sensory Input'!B177</x:f>
        <x:v>12</x:v>
      </x:c>
      <x:c r="C177" s="12" t="n">
        <x:f>'01 Sensory Input'!C177</x:f>
        <x:v>1</x:v>
      </x:c>
      <x:c r="D177" s="12" t="n">
        <x:f>'01 Sensory Input'!D177</x:f>
        <x:v>0.95</x:v>
      </x:c>
      <x:c r="E177" s="12" t="n">
        <x:f>'01 Sensory Input'!E177</x:f>
        <x:v>1</x:v>
      </x:c>
      <x:c r="F177" s="12" t="n">
        <x:f>'01 Sensory Input'!F177</x:f>
        <x:v>0.45</x:v>
      </x:c>
      <x:c r="G177" s="12" t="n">
        <x:f>'01 Sensory Input'!G177</x:f>
        <x:v>1</x:v>
      </x:c>
      <x:c r="H177" t="n">
        <x:f>'02a n'!C177</x:f>
        <x:v>1</x:v>
      </x:c>
      <x:c r="I177" t="n">
        <x:f>'02a n'!D177</x:f>
        <x:v>0</x:v>
      </x:c>
      <x:c r="J177" t="n">
        <x:f>'02a n'!E177</x:f>
        <x:v>1</x:v>
      </x:c>
      <x:c r="K177" t="n">
        <x:f>'02a n'!F177</x:f>
        <x:v>0</x:v>
      </x:c>
      <x:c r="L177" t="n">
        <x:f>'02a n'!G177</x:f>
        <x:v>1</x:v>
      </x:c>
      <x:c r="M177" t="n">
        <x:f>'02b n^-1'!C177</x:f>
        <x:v>1</x:v>
      </x:c>
      <x:c r="N177" t="n">
        <x:f>'02b n^-1'!D177</x:f>
        <x:v>1</x:v>
      </x:c>
      <x:c r="O177" t="n">
        <x:f>'02b n^-1'!E177</x:f>
        <x:v>1</x:v>
      </x:c>
      <x:c r="P177" t="n">
        <x:f>'02b n^-1'!F177</x:f>
        <x:v>0</x:v>
      </x:c>
      <x:c r="Q177" t="n">
        <x:f>'02b n^-1'!G177</x:f>
        <x:v>0</x:v>
      </x:c>
      <x:c r="R177" t="n">
        <x:f>'02b n^-1'!H177</x:f>
        <x:v>1</x:v>
      </x:c>
      <x:c r="S177" s="12" t="n">
        <x:f>'02c n^-2'!C177</x:f>
        <x:v>0.6666666666666666</x:v>
      </x:c>
      <x:c r="T177" t="n">
        <x:f>'02c n^-2'!D177</x:f>
        <x:v>1</x:v>
      </x:c>
      <x:c r="U177" t="n">
        <x:f>'05 Gate Output'!H177</x:f>
        <x:v>0</x:v>
      </x:c>
      <x:c r="V177" t="n">
        <x:f>'05 Gate Output'!I177</x:f>
        <x:v>1</x:v>
      </x:c>
      <x:c r="W177" t="n">
        <x:f>'05 Gate Output'!J177</x:f>
        <x:v>1</x:v>
      </x:c>
      <x:c r="X177" t="n">
        <x:f>'05 Gate Output'!K177</x:f>
        <x:v>1</x:v>
      </x:c>
      <x:c r="Y177" t="n">
        <x:f>'05 Gate Output'!L177</x:f>
        <x:v>1</x:v>
      </x:c>
      <x:c r="Z177" t="n">
        <x:f>'05 Gate Output'!M177</x:f>
        <x:v>1</x:v>
      </x:c>
    </x:row>
    <x:row r="178">
      <x:c r="A178" t="n">
        <x:f>'01 Sensory Input'!A178</x:f>
        <x:v>9</x:v>
      </x:c>
      <x:c r="B178" t="n">
        <x:f>'01 Sensory Input'!B178</x:f>
        <x:v>13</x:v>
      </x:c>
      <x:c r="C178" s="12" t="n">
        <x:f>'01 Sensory Input'!C178</x:f>
        <x:v>0.05</x:v>
      </x:c>
      <x:c r="D178" s="12" t="n">
        <x:f>'01 Sensory Input'!D178</x:f>
        <x:v>0.1</x:v>
      </x:c>
      <x:c r="E178" s="12" t="n">
        <x:f>'01 Sensory Input'!E178</x:f>
        <x:v>0.15</x:v>
      </x:c>
      <x:c r="F178" s="12" t="n">
        <x:f>'01 Sensory Input'!F178</x:f>
        <x:v>0.2</x:v>
      </x:c>
      <x:c r="G178" s="12" t="n">
        <x:f>'01 Sensory Input'!G178</x:f>
        <x:v>0.25</x:v>
      </x:c>
      <x:c r="H178" t="n">
        <x:f>'02a n'!C178</x:f>
        <x:v>0</x:v>
      </x:c>
      <x:c r="I178" t="n">
        <x:f>'02a n'!D178</x:f>
        <x:v>0</x:v>
      </x:c>
      <x:c r="J178" t="n">
        <x:f>'02a n'!E178</x:f>
        <x:v>0</x:v>
      </x:c>
      <x:c r="K178" t="n">
        <x:f>'02a n'!F178</x:f>
        <x:v>0</x:v>
      </x:c>
      <x:c r="L178" t="n">
        <x:f>'02a n'!G178</x:f>
        <x:v>0</x:v>
      </x:c>
      <x:c r="M178" t="n">
        <x:f>'02b n^-1'!C178</x:f>
        <x:v>1</x:v>
      </x:c>
      <x:c r="N178" t="n">
        <x:f>'02b n^-1'!D178</x:f>
        <x:v>1</x:v>
      </x:c>
      <x:c r="O178" t="n">
        <x:f>'02b n^-1'!E178</x:f>
        <x:v>1</x:v>
      </x:c>
      <x:c r="P178" t="n">
        <x:f>'02b n^-1'!F178</x:f>
        <x:v>0</x:v>
      </x:c>
      <x:c r="Q178" t="n">
        <x:f>'02b n^-1'!G178</x:f>
        <x:v>1</x:v>
      </x:c>
      <x:c r="R178" t="n">
        <x:f>'02b n^-1'!H178</x:f>
        <x:v>1</x:v>
      </x:c>
      <x:c r="S178" s="12" t="n">
        <x:f>'02c n^-2'!C178</x:f>
        <x:v>0.8333333333333334</x:v>
      </x:c>
      <x:c r="T178" t="n">
        <x:f>'02c n^-2'!D178</x:f>
        <x:v>1</x:v>
      </x:c>
      <x:c r="U178" t="n">
        <x:f>'05 Gate Output'!H178</x:f>
        <x:v>0</x:v>
      </x:c>
      <x:c r="V178" t="n">
        <x:f>'05 Gate Output'!I178</x:f>
        <x:v>1</x:v>
      </x:c>
      <x:c r="W178" t="n">
        <x:f>'05 Gate Output'!J178</x:f>
        <x:v>1</x:v>
      </x:c>
      <x:c r="X178" t="n">
        <x:f>'05 Gate Output'!K178</x:f>
        <x:v>1</x:v>
      </x:c>
      <x:c r="Y178" t="n">
        <x:f>'05 Gate Output'!L178</x:f>
        <x:v>1</x:v>
      </x:c>
      <x:c r="Z178" t="n">
        <x:f>'05 Gate Output'!M178</x:f>
        <x:v>1</x:v>
      </x:c>
    </x:row>
    <x:row r="179">
      <x:c r="A179" t="n">
        <x:f>'01 Sensory Input'!A179</x:f>
        <x:v>9</x:v>
      </x:c>
      <x:c r="B179" t="n">
        <x:f>'01 Sensory Input'!B179</x:f>
        <x:v>14</x:v>
      </x:c>
      <x:c r="C179" s="12" t="n">
        <x:f>'01 Sensory Input'!C179</x:f>
        <x:v>1</x:v>
      </x:c>
      <x:c r="D179" s="12" t="n">
        <x:f>'01 Sensory Input'!D179</x:f>
        <x:v>0.25</x:v>
      </x:c>
      <x:c r="E179" s="12" t="n">
        <x:f>'01 Sensory Input'!E179</x:f>
        <x:v>0.35</x:v>
      </x:c>
      <x:c r="F179" s="12" t="n">
        <x:f>'01 Sensory Input'!F179</x:f>
        <x:v>0.45</x:v>
      </x:c>
      <x:c r="G179" s="12" t="n">
        <x:f>'01 Sensory Input'!G179</x:f>
        <x:v>0.55</x:v>
      </x:c>
      <x:c r="H179" t="n">
        <x:f>'02a n'!C179</x:f>
        <x:v>1</x:v>
      </x:c>
      <x:c r="I179" t="n">
        <x:f>'02a n'!D179</x:f>
        <x:v>0</x:v>
      </x:c>
      <x:c r="J179" t="n">
        <x:f>'02a n'!E179</x:f>
        <x:v>0</x:v>
      </x:c>
      <x:c r="K179" t="n">
        <x:f>'02a n'!F179</x:f>
        <x:v>0</x:v>
      </x:c>
      <x:c r="L179" t="n">
        <x:f>'02a n'!G179</x:f>
        <x:v>0</x:v>
      </x:c>
      <x:c r="M179" t="n">
        <x:f>'02b n^-1'!C179</x:f>
        <x:v>1</x:v>
      </x:c>
      <x:c r="N179" t="n">
        <x:f>'02b n^-1'!D179</x:f>
        <x:v>0</x:v>
      </x:c>
      <x:c r="O179" t="n">
        <x:f>'02b n^-1'!E179</x:f>
        <x:v>0</x:v>
      </x:c>
      <x:c r="P179" t="n">
        <x:f>'02b n^-1'!F179</x:f>
        <x:v>0</x:v>
      </x:c>
      <x:c r="Q179" t="n">
        <x:f>'02b n^-1'!G179</x:f>
        <x:v>0</x:v>
      </x:c>
      <x:c r="R179" t="n">
        <x:f>'02b n^-1'!H179</x:f>
        <x:v>0</x:v>
      </x:c>
      <x:c r="S179" s="12" t="n">
        <x:f>'02c n^-2'!C179</x:f>
        <x:v>0.16666666666666666</x:v>
      </x:c>
      <x:c r="T179" t="n">
        <x:f>'02c n^-2'!D179</x:f>
        <x:v>1</x:v>
      </x:c>
      <x:c r="U179" t="n">
        <x:f>'05 Gate Output'!H179</x:f>
        <x:v>0</x:v>
      </x:c>
      <x:c r="V179" t="n">
        <x:f>'05 Gate Output'!I179</x:f>
        <x:v>1</x:v>
      </x:c>
      <x:c r="W179" t="n">
        <x:f>'05 Gate Output'!J179</x:f>
        <x:v>1</x:v>
      </x:c>
      <x:c r="X179" t="n">
        <x:f>'05 Gate Output'!K179</x:f>
        <x:v>1</x:v>
      </x:c>
      <x:c r="Y179" t="n">
        <x:f>'05 Gate Output'!L179</x:f>
        <x:v>1</x:v>
      </x:c>
      <x:c r="Z179" t="n">
        <x:f>'05 Gate Output'!M179</x:f>
        <x:v>1</x:v>
      </x:c>
    </x:row>
    <x:row r="180">
      <x:c r="A180" t="n">
        <x:f>'01 Sensory Input'!A180</x:f>
        <x:v>9</x:v>
      </x:c>
      <x:c r="B180" t="n">
        <x:f>'01 Sensory Input'!B180</x:f>
        <x:v>15</x:v>
      </x:c>
      <x:c r="C180" s="12" t="n">
        <x:f>'01 Sensory Input'!C180</x:f>
        <x:v>0.15</x:v>
      </x:c>
      <x:c r="D180" s="12" t="n">
        <x:f>'01 Sensory Input'!D180</x:f>
        <x:v>0.95</x:v>
      </x:c>
      <x:c r="E180" s="12" t="n">
        <x:f>'01 Sensory Input'!E180</x:f>
        <x:v>0.35</x:v>
      </x:c>
      <x:c r="F180" s="12" t="n">
        <x:f>'01 Sensory Input'!F180</x:f>
        <x:v>0.98</x:v>
      </x:c>
      <x:c r="G180" s="12" t="n">
        <x:f>'01 Sensory Input'!G180</x:f>
        <x:v>0.55</x:v>
      </x:c>
      <x:c r="H180" t="n">
        <x:f>'02a n'!C180</x:f>
        <x:v>0</x:v>
      </x:c>
      <x:c r="I180" t="n">
        <x:f>'02a n'!D180</x:f>
        <x:v>0</x:v>
      </x:c>
      <x:c r="J180" t="n">
        <x:f>'02a n'!E180</x:f>
        <x:v>0</x:v>
      </x:c>
      <x:c r="K180" t="n">
        <x:f>'02a n'!F180</x:f>
        <x:v>0</x:v>
      </x:c>
      <x:c r="L180" t="n">
        <x:f>'02a n'!G180</x:f>
        <x:v>0</x:v>
      </x:c>
      <x:c r="M180" t="n">
        <x:f>'02b n^-1'!C180</x:f>
        <x:v>1</x:v>
      </x:c>
      <x:c r="N180" t="n">
        <x:f>'02b n^-1'!D180</x:f>
        <x:v>1</x:v>
      </x:c>
      <x:c r="O180" t="n">
        <x:f>'02b n^-1'!E180</x:f>
        <x:v>0</x:v>
      </x:c>
      <x:c r="P180" t="n">
        <x:f>'02b n^-1'!F180</x:f>
        <x:v>1</x:v>
      </x:c>
      <x:c r="Q180" t="n">
        <x:f>'02b n^-1'!G180</x:f>
        <x:v>0</x:v>
      </x:c>
      <x:c r="R180" t="n">
        <x:f>'02b n^-1'!H180</x:f>
        <x:v>1</x:v>
      </x:c>
      <x:c r="S180" s="12" t="n">
        <x:f>'02c n^-2'!C180</x:f>
        <x:v>0.6666666666666666</x:v>
      </x:c>
      <x:c r="T180" t="n">
        <x:f>'02c n^-2'!D180</x:f>
        <x:v>1</x:v>
      </x:c>
      <x:c r="U180" t="n">
        <x:f>'05 Gate Output'!H180</x:f>
        <x:v>0</x:v>
      </x:c>
      <x:c r="V180" t="n">
        <x:f>'05 Gate Output'!I180</x:f>
        <x:v>1</x:v>
      </x:c>
      <x:c r="W180" t="n">
        <x:f>'05 Gate Output'!J180</x:f>
        <x:v>1</x:v>
      </x:c>
      <x:c r="X180" t="n">
        <x:f>'05 Gate Output'!K180</x:f>
        <x:v>1</x:v>
      </x:c>
      <x:c r="Y180" t="n">
        <x:f>'05 Gate Output'!L180</x:f>
        <x:v>1</x:v>
      </x:c>
      <x:c r="Z180" t="n">
        <x:f>'05 Gate Output'!M180</x:f>
        <x:v>1</x:v>
      </x:c>
    </x:row>
    <x:row r="181">
      <x:c r="A181" t="n">
        <x:f>'01 Sensory Input'!A181</x:f>
        <x:v>9</x:v>
      </x:c>
      <x:c r="B181" t="n">
        <x:f>'01 Sensory Input'!B181</x:f>
        <x:v>16</x:v>
      </x:c>
      <x:c r="C181" s="12" t="n">
        <x:f>'01 Sensory Input'!C181</x:f>
        <x:v>1</x:v>
      </x:c>
      <x:c r="D181" s="12" t="n">
        <x:f>'01 Sensory Input'!D181</x:f>
        <x:v>0.25</x:v>
      </x:c>
      <x:c r="E181" s="12" t="n">
        <x:f>'01 Sensory Input'!E181</x:f>
        <x:v>1</x:v>
      </x:c>
      <x:c r="F181" s="12" t="n">
        <x:f>'01 Sensory Input'!F181</x:f>
        <x:v>0.45</x:v>
      </x:c>
      <x:c r="G181" s="12" t="n">
        <x:f>'01 Sensory Input'!G181</x:f>
        <x:v>0.55</x:v>
      </x:c>
      <x:c r="H181" t="n">
        <x:f>'02a n'!C181</x:f>
        <x:v>1</x:v>
      </x:c>
      <x:c r="I181" t="n">
        <x:f>'02a n'!D181</x:f>
        <x:v>0</x:v>
      </x:c>
      <x:c r="J181" t="n">
        <x:f>'02a n'!E181</x:f>
        <x:v>1</x:v>
      </x:c>
      <x:c r="K181" t="n">
        <x:f>'02a n'!F181</x:f>
        <x:v>0</x:v>
      </x:c>
      <x:c r="L181" t="n">
        <x:f>'02a n'!G181</x:f>
        <x:v>0</x:v>
      </x:c>
      <x:c r="M181" t="n">
        <x:f>'02b n^-1'!C181</x:f>
        <x:v>1</x:v>
      </x:c>
      <x:c r="N181" t="n">
        <x:f>'02b n^-1'!D181</x:f>
        <x:v>1</x:v>
      </x:c>
      <x:c r="O181" t="n">
        <x:f>'02b n^-1'!E181</x:f>
        <x:v>1</x:v>
      </x:c>
      <x:c r="P181" t="n">
        <x:f>'02b n^-1'!F181</x:f>
        <x:v>1</x:v>
      </x:c>
      <x:c r="Q181" t="n">
        <x:f>'02b n^-1'!G181</x:f>
        <x:v>0</x:v>
      </x:c>
      <x:c r="R181" t="n">
        <x:f>'02b n^-1'!H181</x:f>
        <x:v>1</x:v>
      </x:c>
      <x:c r="S181" s="12" t="n">
        <x:f>'02c n^-2'!C181</x:f>
        <x:v>0.8333333333333334</x:v>
      </x:c>
      <x:c r="T181" t="n">
        <x:f>'02c n^-2'!D181</x:f>
        <x:v>1</x:v>
      </x:c>
      <x:c r="U181" t="n">
        <x:f>'05 Gate Output'!H181</x:f>
        <x:v>0</x:v>
      </x:c>
      <x:c r="V181" t="n">
        <x:f>'05 Gate Output'!I181</x:f>
        <x:v>1</x:v>
      </x:c>
      <x:c r="W181" t="n">
        <x:f>'05 Gate Output'!J181</x:f>
        <x:v>1</x:v>
      </x:c>
      <x:c r="X181" t="n">
        <x:f>'05 Gate Output'!K181</x:f>
        <x:v>1</x:v>
      </x:c>
      <x:c r="Y181" t="n">
        <x:f>'05 Gate Output'!L181</x:f>
        <x:v>1</x:v>
      </x:c>
      <x:c r="Z181" t="n">
        <x:f>'05 Gate Output'!M181</x:f>
        <x:v>1</x:v>
      </x:c>
    </x:row>
    <x:row r="182">
      <x:c r="A182" t="n">
        <x:f>'01 Sensory Input'!A182</x:f>
        <x:v>9</x:v>
      </x:c>
      <x:c r="B182" t="n">
        <x:f>'01 Sensory Input'!B182</x:f>
        <x:v>17</x:v>
      </x:c>
      <x:c r="C182" s="12" t="n">
        <x:f>'01 Sensory Input'!C182</x:f>
        <x:v>0.15</x:v>
      </x:c>
      <x:c r="D182" s="12" t="n">
        <x:f>'01 Sensory Input'!D182</x:f>
        <x:v>0.25</x:v>
      </x:c>
      <x:c r="E182" s="12" t="n">
        <x:f>'01 Sensory Input'!E182</x:f>
        <x:v>0.35</x:v>
      </x:c>
      <x:c r="F182" s="12" t="n">
        <x:f>'01 Sensory Input'!F182</x:f>
        <x:v>0.45</x:v>
      </x:c>
      <x:c r="G182" s="12" t="n">
        <x:f>'01 Sensory Input'!G182</x:f>
        <x:v>0.55</x:v>
      </x:c>
      <x:c r="H182" t="n">
        <x:f>'02a n'!C182</x:f>
        <x:v>0</x:v>
      </x:c>
      <x:c r="I182" t="n">
        <x:f>'02a n'!D182</x:f>
        <x:v>0</x:v>
      </x:c>
      <x:c r="J182" t="n">
        <x:f>'02a n'!E182</x:f>
        <x:v>0</x:v>
      </x:c>
      <x:c r="K182" t="n">
        <x:f>'02a n'!F182</x:f>
        <x:v>0</x:v>
      </x:c>
      <x:c r="L182" t="n">
        <x:f>'02a n'!G182</x:f>
        <x:v>0</x:v>
      </x:c>
      <x:c r="M182" t="n">
        <x:f>'02b n^-1'!C182</x:f>
        <x:v>1</x:v>
      </x:c>
      <x:c r="N182" t="n">
        <x:f>'02b n^-1'!D182</x:f>
        <x:v>0</x:v>
      </x:c>
      <x:c r="O182" t="n">
        <x:f>'02b n^-1'!E182</x:f>
        <x:v>1</x:v>
      </x:c>
      <x:c r="P182" t="n">
        <x:f>'02b n^-1'!F182</x:f>
        <x:v>0</x:v>
      </x:c>
      <x:c r="Q182" t="n">
        <x:f>'02b n^-1'!G182</x:f>
        <x:v>0</x:v>
      </x:c>
      <x:c r="R182" t="n">
        <x:f>'02b n^-1'!H182</x:f>
        <x:v>1</x:v>
      </x:c>
      <x:c r="S182" s="12" t="n">
        <x:f>'02c n^-2'!C182</x:f>
        <x:v>0.5</x:v>
      </x:c>
      <x:c r="T182" t="n">
        <x:f>'02c n^-2'!D182</x:f>
        <x:v>1</x:v>
      </x:c>
      <x:c r="U182" t="n">
        <x:f>'05 Gate Output'!H182</x:f>
        <x:v>0</x:v>
      </x:c>
      <x:c r="V182" t="n">
        <x:f>'05 Gate Output'!I182</x:f>
        <x:v>1</x:v>
      </x:c>
      <x:c r="W182" t="n">
        <x:f>'05 Gate Output'!J182</x:f>
        <x:v>1</x:v>
      </x:c>
      <x:c r="X182" t="n">
        <x:f>'05 Gate Output'!K182</x:f>
        <x:v>1</x:v>
      </x:c>
      <x:c r="Y182" t="n">
        <x:f>'05 Gate Output'!L182</x:f>
        <x:v>1</x:v>
      </x:c>
      <x:c r="Z182" t="n">
        <x:f>'05 Gate Output'!M182</x:f>
        <x:v>1</x:v>
      </x:c>
    </x:row>
    <x:row r="183">
      <x:c r="A183" t="n">
        <x:f>'01 Sensory Input'!A183</x:f>
        <x:v>9</x:v>
      </x:c>
      <x:c r="B183" t="n">
        <x:f>'01 Sensory Input'!B183</x:f>
        <x:v>18</x:v>
      </x:c>
      <x:c r="C183" s="12" t="n">
        <x:f>'01 Sensory Input'!C183</x:f>
        <x:v>1</x:v>
      </x:c>
      <x:c r="D183" s="12" t="n">
        <x:f>'01 Sensory Input'!D183</x:f>
        <x:v>0.95</x:v>
      </x:c>
      <x:c r="E183" s="12" t="n">
        <x:f>'01 Sensory Input'!E183</x:f>
        <x:v>0.35</x:v>
      </x:c>
      <x:c r="F183" s="12" t="n">
        <x:f>'01 Sensory Input'!F183</x:f>
        <x:v>0.45</x:v>
      </x:c>
      <x:c r="G183" s="12" t="n">
        <x:f>'01 Sensory Input'!G183</x:f>
        <x:v>1</x:v>
      </x:c>
      <x:c r="H183" t="n">
        <x:f>'02a n'!C183</x:f>
        <x:v>1</x:v>
      </x:c>
      <x:c r="I183" t="n">
        <x:f>'02a n'!D183</x:f>
        <x:v>0</x:v>
      </x:c>
      <x:c r="J183" t="n">
        <x:f>'02a n'!E183</x:f>
        <x:v>0</x:v>
      </x:c>
      <x:c r="K183" t="n">
        <x:f>'02a n'!F183</x:f>
        <x:v>0</x:v>
      </x:c>
      <x:c r="L183" t="n">
        <x:f>'02a n'!G183</x:f>
        <x:v>1</x:v>
      </x:c>
      <x:c r="M183" t="n">
        <x:f>'02b n^-1'!C183</x:f>
        <x:v>1</x:v>
      </x:c>
      <x:c r="N183" t="n">
        <x:f>'02b n^-1'!D183</x:f>
        <x:v>1</x:v>
      </x:c>
      <x:c r="O183" t="n">
        <x:f>'02b n^-1'!E183</x:f>
        <x:v>0</x:v>
      </x:c>
      <x:c r="P183" t="n">
        <x:f>'02b n^-1'!F183</x:f>
        <x:v>0</x:v>
      </x:c>
      <x:c r="Q183" t="n">
        <x:f>'02b n^-1'!G183</x:f>
        <x:v>0</x:v>
      </x:c>
      <x:c r="R183" t="n">
        <x:f>'02b n^-1'!H183</x:f>
        <x:v>1</x:v>
      </x:c>
      <x:c r="S183" s="12" t="n">
        <x:f>'02c n^-2'!C183</x:f>
        <x:v>0.5</x:v>
      </x:c>
      <x:c r="T183" t="n">
        <x:f>'02c n^-2'!D183</x:f>
        <x:v>0</x:v>
      </x:c>
      <x:c r="U183" t="n">
        <x:f>'05 Gate Output'!H183</x:f>
        <x:v>0</x:v>
      </x:c>
      <x:c r="V183" t="n">
        <x:f>'05 Gate Output'!I183</x:f>
        <x:v>1</x:v>
      </x:c>
      <x:c r="W183" t="n">
        <x:f>'05 Gate Output'!J183</x:f>
        <x:v>1</x:v>
      </x:c>
      <x:c r="X183" t="n">
        <x:f>'05 Gate Output'!K183</x:f>
        <x:v>1</x:v>
      </x:c>
      <x:c r="Y183" t="n">
        <x:f>'05 Gate Output'!L183</x:f>
        <x:v>1</x:v>
      </x:c>
      <x:c r="Z183" t="n">
        <x:f>'05 Gate Output'!M183</x:f>
        <x:v>1</x:v>
      </x:c>
    </x:row>
    <x:row r="184">
      <x:c r="A184" t="n">
        <x:f>'01 Sensory Input'!A184</x:f>
        <x:v>9</x:v>
      </x:c>
      <x:c r="B184" t="n">
        <x:f>'01 Sensory Input'!B184</x:f>
        <x:v>19</x:v>
      </x:c>
      <x:c r="C184" s="12" t="n">
        <x:f>'01 Sensory Input'!C184</x:f>
        <x:v>0.05</x:v>
      </x:c>
      <x:c r="D184" s="12" t="n">
        <x:f>'01 Sensory Input'!D184</x:f>
        <x:v>0.1</x:v>
      </x:c>
      <x:c r="E184" s="12" t="n">
        <x:f>'01 Sensory Input'!E184</x:f>
        <x:v>0.15</x:v>
      </x:c>
      <x:c r="F184" s="12" t="n">
        <x:f>'01 Sensory Input'!F184</x:f>
        <x:v>0.2</x:v>
      </x:c>
      <x:c r="G184" s="12" t="n">
        <x:f>'01 Sensory Input'!G184</x:f>
        <x:v>0.25</x:v>
      </x:c>
      <x:c r="H184" t="n">
        <x:f>'02a n'!C184</x:f>
        <x:v>0</x:v>
      </x:c>
      <x:c r="I184" t="n">
        <x:f>'02a n'!D184</x:f>
        <x:v>0</x:v>
      </x:c>
      <x:c r="J184" t="n">
        <x:f>'02a n'!E184</x:f>
        <x:v>0</x:v>
      </x:c>
      <x:c r="K184" t="n">
        <x:f>'02a n'!F184</x:f>
        <x:v>0</x:v>
      </x:c>
      <x:c r="L184" t="n">
        <x:f>'02a n'!G184</x:f>
        <x:v>0</x:v>
      </x:c>
      <x:c r="M184" t="n">
        <x:f>'02b n^-1'!C184</x:f>
        <x:v>1</x:v>
      </x:c>
      <x:c r="N184" t="n">
        <x:f>'02b n^-1'!D184</x:f>
        <x:v>1</x:v>
      </x:c>
      <x:c r="O184" t="n">
        <x:f>'02b n^-1'!E184</x:f>
        <x:v>0</x:v>
      </x:c>
      <x:c r="P184" t="n">
        <x:f>'02b n^-1'!F184</x:f>
        <x:v>0</x:v>
      </x:c>
      <x:c r="Q184" t="n">
        <x:f>'02b n^-1'!G184</x:f>
        <x:v>1</x:v>
      </x:c>
      <x:c r="R184" t="n">
        <x:f>'02b n^-1'!H184</x:f>
        <x:v>1</x:v>
      </x:c>
      <x:c r="S184" s="12" t="n">
        <x:f>'02c n^-2'!C184</x:f>
        <x:v>0.6666666666666666</x:v>
      </x:c>
      <x:c r="T184" t="n">
        <x:f>'02c n^-2'!D184</x:f>
        <x:v>1</x:v>
      </x:c>
      <x:c r="U184" t="n">
        <x:f>'05 Gate Output'!H184</x:f>
        <x:v>0</x:v>
      </x:c>
      <x:c r="V184" t="n">
        <x:f>'05 Gate Output'!I184</x:f>
        <x:v>1</x:v>
      </x:c>
      <x:c r="W184" t="n">
        <x:f>'05 Gate Output'!J184</x:f>
        <x:v>1</x:v>
      </x:c>
      <x:c r="X184" t="n">
        <x:f>'05 Gate Output'!K184</x:f>
        <x:v>1</x:v>
      </x:c>
      <x:c r="Y184" t="n">
        <x:f>'05 Gate Output'!L184</x:f>
        <x:v>1</x:v>
      </x:c>
      <x:c r="Z184" t="n">
        <x:f>'05 Gate Output'!M184</x:f>
        <x:v>1</x:v>
      </x:c>
    </x:row>
    <x:row r="185">
      <x:c r="A185" t="n">
        <x:f>'01 Sensory Input'!A185</x:f>
        <x:v>9</x:v>
      </x:c>
      <x:c r="B185" t="n">
        <x:f>'01 Sensory Input'!B185</x:f>
        <x:v>20</x:v>
      </x:c>
      <x:c r="C185" s="12" t="n">
        <x:f>'01 Sensory Input'!C185</x:f>
        <x:v>1</x:v>
      </x:c>
      <x:c r="D185" s="12" t="n">
        <x:f>'01 Sensory Input'!D185</x:f>
        <x:v>0.25</x:v>
      </x:c>
      <x:c r="E185" s="12" t="n">
        <x:f>'01 Sensory Input'!E185</x:f>
        <x:v>1</x:v>
      </x:c>
      <x:c r="F185" s="12" t="n">
        <x:f>'01 Sensory Input'!F185</x:f>
        <x:v>0.98</x:v>
      </x:c>
      <x:c r="G185" s="12" t="n">
        <x:f>'01 Sensory Input'!G185</x:f>
        <x:v>0.55</x:v>
      </x:c>
      <x:c r="H185" t="n">
        <x:f>'02a n'!C185</x:f>
        <x:v>1</x:v>
      </x:c>
      <x:c r="I185" t="n">
        <x:f>'02a n'!D185</x:f>
        <x:v>0</x:v>
      </x:c>
      <x:c r="J185" t="n">
        <x:f>'02a n'!E185</x:f>
        <x:v>1</x:v>
      </x:c>
      <x:c r="K185" t="n">
        <x:f>'02a n'!F185</x:f>
        <x:v>0</x:v>
      </x:c>
      <x:c r="L185" t="n">
        <x:f>'02a n'!G185</x:f>
        <x:v>0</x:v>
      </x:c>
      <x:c r="M185" t="n">
        <x:f>'02b n^-1'!C185</x:f>
        <x:v>1</x:v>
      </x:c>
      <x:c r="N185" t="n">
        <x:f>'02b n^-1'!D185</x:f>
        <x:v>0</x:v>
      </x:c>
      <x:c r="O185" t="n">
        <x:f>'02b n^-1'!E185</x:f>
        <x:v>1</x:v>
      </x:c>
      <x:c r="P185" t="n">
        <x:f>'02b n^-1'!F185</x:f>
        <x:v>1</x:v>
      </x:c>
      <x:c r="Q185" t="n">
        <x:f>'02b n^-1'!G185</x:f>
        <x:v>0</x:v>
      </x:c>
      <x:c r="R185" t="n">
        <x:f>'02b n^-1'!H185</x:f>
        <x:v>1</x:v>
      </x:c>
      <x:c r="S185" s="12" t="n">
        <x:f>'02c n^-2'!C185</x:f>
        <x:v>0.6666666666666666</x:v>
      </x:c>
      <x:c r="T185" t="n">
        <x:f>'02c n^-2'!D185</x:f>
        <x:v>0</x:v>
      </x:c>
      <x:c r="U185" t="n">
        <x:f>'05 Gate Output'!H185</x:f>
        <x:v>0</x:v>
      </x:c>
      <x:c r="V185" t="n">
        <x:f>'05 Gate Output'!I185</x:f>
        <x:v>1</x:v>
      </x:c>
      <x:c r="W185" t="n">
        <x:f>'05 Gate Output'!J185</x:f>
        <x:v>1</x:v>
      </x:c>
      <x:c r="X185" t="n">
        <x:f>'05 Gate Output'!K185</x:f>
        <x:v>1</x:v>
      </x:c>
      <x:c r="Y185" t="n">
        <x:f>'05 Gate Output'!L185</x:f>
        <x:v>1</x:v>
      </x:c>
      <x:c r="Z185" t="n">
        <x:f>'05 Gate Output'!M185</x:f>
        <x:v>1</x:v>
      </x:c>
    </x:row>
    <x:row r="186">
      <x:c r="A186" t="n">
        <x:f>'01 Sensory Input'!A186</x:f>
        <x:v>10</x:v>
      </x:c>
      <x:c r="B186" t="n">
        <x:f>'01 Sensory Input'!B186</x:f>
        <x:v>1</x:v>
      </x:c>
      <x:c r="C186" s="12" t="n">
        <x:f>'01 Sensory Input'!C186</x:f>
        <x:v>0.1</x:v>
      </x:c>
      <x:c r="D186" s="12" t="n">
        <x:f>'01 Sensory Input'!D186</x:f>
        <x:v>1</x:v>
      </x:c>
      <x:c r="E186" s="12" t="n">
        <x:f>'01 Sensory Input'!E186</x:f>
        <x:v>0.1</x:v>
      </x:c>
      <x:c r="F186" s="12" t="n">
        <x:f>'01 Sensory Input'!F186</x:f>
        <x:v>1</x:v>
      </x:c>
      <x:c r="G186" s="12" t="n">
        <x:f>'01 Sensory Input'!G186</x:f>
        <x:v>0.1</x:v>
      </x:c>
      <x:c r="H186" t="n">
        <x:f>'02a n'!C186</x:f>
        <x:v>0</x:v>
      </x:c>
      <x:c r="I186" t="n">
        <x:f>'02a n'!D186</x:f>
        <x:v>1</x:v>
      </x:c>
      <x:c r="J186" t="n">
        <x:f>'02a n'!E186</x:f>
        <x:v>0</x:v>
      </x:c>
      <x:c r="K186" t="n">
        <x:f>'02a n'!F186</x:f>
        <x:v>1</x:v>
      </x:c>
      <x:c r="L186" t="n">
        <x:f>'02a n'!G186</x:f>
        <x:v>0</x:v>
      </x:c>
      <x:c r="M186" t="n">
        <x:f>'02b n^-1'!C186</x:f>
        <x:v>0</x:v>
      </x:c>
      <x:c r="N186" t="n">
        <x:f>'02b n^-1'!D186</x:f>
        <x:v>0</x:v>
      </x:c>
      <x:c r="O186" t="n">
        <x:f>'02b n^-1'!E186</x:f>
        <x:v>0</x:v>
      </x:c>
      <x:c r="P186" t="n">
        <x:f>'02b n^-1'!F186</x:f>
        <x:v>0</x:v>
      </x:c>
      <x:c r="Q186" t="n">
        <x:f>'02b n^-1'!G186</x:f>
        <x:v>0</x:v>
      </x:c>
      <x:c r="R186" t="n">
        <x:f>'02b n^-1'!H186</x:f>
        <x:v>0</x:v>
      </x:c>
      <x:c r="S186" s="12" t="n">
        <x:f>'02c n^-2'!C186</x:f>
        <x:v>0</x:v>
      </x:c>
      <x:c r="T186" t="n">
        <x:f>'02c n^-2'!D186</x:f>
        <x:v>0</x:v>
      </x:c>
      <x:c r="U186" t="n">
        <x:f>'05 Gate Output'!H186</x:f>
        <x:v>0</x:v>
      </x:c>
      <x:c r="V186" t="n">
        <x:f>'05 Gate Output'!I186</x:f>
        <x:v>1</x:v>
      </x:c>
      <x:c r="W186" t="n">
        <x:f>'05 Gate Output'!J186</x:f>
        <x:v>0</x:v>
      </x:c>
      <x:c r="X186" t="n">
        <x:f>'05 Gate Output'!K186</x:f>
        <x:v>0</x:v>
      </x:c>
      <x:c r="Y186" t="n">
        <x:f>'05 Gate Output'!L186</x:f>
        <x:v>0</x:v>
      </x:c>
      <x:c r="Z186" t="n">
        <x:f>'05 Gate Output'!M186</x:f>
        <x:v>1</x:v>
      </x:c>
    </x:row>
    <x:row r="187">
      <x:c r="A187" t="n">
        <x:f>'01 Sensory Input'!A187</x:f>
        <x:v>10</x:v>
      </x:c>
      <x:c r="B187" t="n">
        <x:f>'01 Sensory Input'!B187</x:f>
        <x:v>2</x:v>
      </x:c>
      <x:c r="C187" s="12" t="n">
        <x:f>'01 Sensory Input'!C187</x:f>
        <x:v>1</x:v>
      </x:c>
      <x:c r="D187" s="12" t="n">
        <x:f>'01 Sensory Input'!D187</x:f>
        <x:v>0.1</x:v>
      </x:c>
      <x:c r="E187" s="12" t="n">
        <x:f>'01 Sensory Input'!E187</x:f>
        <x:v>1</x:v>
      </x:c>
      <x:c r="F187" s="12" t="n">
        <x:f>'01 Sensory Input'!F187</x:f>
        <x:v>0.1</x:v>
      </x:c>
      <x:c r="G187" s="12" t="n">
        <x:f>'01 Sensory Input'!G187</x:f>
        <x:v>1</x:v>
      </x:c>
      <x:c r="H187" t="n">
        <x:f>'02a n'!C187</x:f>
        <x:v>1</x:v>
      </x:c>
      <x:c r="I187" t="n">
        <x:f>'02a n'!D187</x:f>
        <x:v>0</x:v>
      </x:c>
      <x:c r="J187" t="n">
        <x:f>'02a n'!E187</x:f>
        <x:v>1</x:v>
      </x:c>
      <x:c r="K187" t="n">
        <x:f>'02a n'!F187</x:f>
        <x:v>0</x:v>
      </x:c>
      <x:c r="L187" t="n">
        <x:f>'02a n'!G187</x:f>
        <x:v>1</x:v>
      </x:c>
      <x:c r="M187" t="n">
        <x:f>'02b n^-1'!C187</x:f>
        <x:v>1</x:v>
      </x:c>
      <x:c r="N187" t="n">
        <x:f>'02b n^-1'!D187</x:f>
        <x:v>1</x:v>
      </x:c>
      <x:c r="O187" t="n">
        <x:f>'02b n^-1'!E187</x:f>
        <x:v>1</x:v>
      </x:c>
      <x:c r="P187" t="n">
        <x:f>'02b n^-1'!F187</x:f>
        <x:v>1</x:v>
      </x:c>
      <x:c r="Q187" t="n">
        <x:f>'02b n^-1'!G187</x:f>
        <x:v>1</x:v>
      </x:c>
      <x:c r="R187" t="n">
        <x:f>'02b n^-1'!H187</x:f>
        <x:v>1</x:v>
      </x:c>
      <x:c r="S187" s="12" t="n">
        <x:f>'02c n^-2'!C187</x:f>
        <x:v>1</x:v>
      </x:c>
      <x:c r="T187" t="n">
        <x:f>'02c n^-2'!D187</x:f>
        <x:v>1</x:v>
      </x:c>
      <x:c r="U187" t="n">
        <x:f>'05 Gate Output'!H187</x:f>
        <x:v>0</x:v>
      </x:c>
      <x:c r="V187" t="n">
        <x:f>'05 Gate Output'!I187</x:f>
        <x:v>1</x:v>
      </x:c>
      <x:c r="W187" t="n">
        <x:f>'05 Gate Output'!J187</x:f>
        <x:v>1</x:v>
      </x:c>
      <x:c r="X187" t="n">
        <x:f>'05 Gate Output'!K187</x:f>
        <x:v>1</x:v>
      </x:c>
      <x:c r="Y187" t="n">
        <x:f>'05 Gate Output'!L187</x:f>
        <x:v>0</x:v>
      </x:c>
      <x:c r="Z187" t="n">
        <x:f>'05 Gate Output'!M187</x:f>
        <x:v>1</x:v>
      </x:c>
    </x:row>
    <x:row r="188">
      <x:c r="A188" t="n">
        <x:f>'01 Sensory Input'!A188</x:f>
        <x:v>10</x:v>
      </x:c>
      <x:c r="B188" t="n">
        <x:f>'01 Sensory Input'!B188</x:f>
        <x:v>3</x:v>
      </x:c>
      <x:c r="C188" s="12" t="n">
        <x:f>'01 Sensory Input'!C188</x:f>
        <x:v>0.1</x:v>
      </x:c>
      <x:c r="D188" s="12" t="n">
        <x:f>'01 Sensory Input'!D188</x:f>
        <x:v>1</x:v>
      </x:c>
      <x:c r="E188" s="12" t="n">
        <x:f>'01 Sensory Input'!E188</x:f>
        <x:v>0.1</x:v>
      </x:c>
      <x:c r="F188" s="12" t="n">
        <x:f>'01 Sensory Input'!F188</x:f>
        <x:v>1</x:v>
      </x:c>
      <x:c r="G188" s="12" t="n">
        <x:f>'01 Sensory Input'!G188</x:f>
        <x:v>0.1</x:v>
      </x:c>
      <x:c r="H188" t="n">
        <x:f>'02a n'!C188</x:f>
        <x:v>0</x:v>
      </x:c>
      <x:c r="I188" t="n">
        <x:f>'02a n'!D188</x:f>
        <x:v>1</x:v>
      </x:c>
      <x:c r="J188" t="n">
        <x:f>'02a n'!E188</x:f>
        <x:v>0</x:v>
      </x:c>
      <x:c r="K188" t="n">
        <x:f>'02a n'!F188</x:f>
        <x:v>1</x:v>
      </x:c>
      <x:c r="L188" t="n">
        <x:f>'02a n'!G188</x:f>
        <x:v>0</x:v>
      </x:c>
      <x:c r="M188" t="n">
        <x:f>'02b n^-1'!C188</x:f>
        <x:v>1</x:v>
      </x:c>
      <x:c r="N188" t="n">
        <x:f>'02b n^-1'!D188</x:f>
        <x:v>1</x:v>
      </x:c>
      <x:c r="O188" t="n">
        <x:f>'02b n^-1'!E188</x:f>
        <x:v>1</x:v>
      </x:c>
      <x:c r="P188" t="n">
        <x:f>'02b n^-1'!F188</x:f>
        <x:v>1</x:v>
      </x:c>
      <x:c r="Q188" t="n">
        <x:f>'02b n^-1'!G188</x:f>
        <x:v>1</x:v>
      </x:c>
      <x:c r="R188" t="n">
        <x:f>'02b n^-1'!H188</x:f>
        <x:v>1</x:v>
      </x:c>
      <x:c r="S188" s="12" t="n">
        <x:f>'02c n^-2'!C188</x:f>
        <x:v>1</x:v>
      </x:c>
      <x:c r="T188" t="n">
        <x:f>'02c n^-2'!D188</x:f>
        <x:v>0</x:v>
      </x:c>
      <x:c r="U188" t="n">
        <x:f>'05 Gate Output'!H188</x:f>
        <x:v>0</x:v>
      </x:c>
      <x:c r="V188" t="n">
        <x:f>'05 Gate Output'!I188</x:f>
        <x:v>1</x:v>
      </x:c>
      <x:c r="W188" t="n">
        <x:f>'05 Gate Output'!J188</x:f>
        <x:v>1</x:v>
      </x:c>
      <x:c r="X188" t="n">
        <x:f>'05 Gate Output'!K188</x:f>
        <x:v>1</x:v>
      </x:c>
      <x:c r="Y188" t="n">
        <x:f>'05 Gate Output'!L188</x:f>
        <x:v>0</x:v>
      </x:c>
      <x:c r="Z188" t="n">
        <x:f>'05 Gate Output'!M188</x:f>
        <x:v>1</x:v>
      </x:c>
    </x:row>
    <x:row r="189">
      <x:c r="A189" t="n">
        <x:f>'01 Sensory Input'!A189</x:f>
        <x:v>10</x:v>
      </x:c>
      <x:c r="B189" t="n">
        <x:f>'01 Sensory Input'!B189</x:f>
        <x:v>4</x:v>
      </x:c>
      <x:c r="C189" s="12" t="n">
        <x:f>'01 Sensory Input'!C189</x:f>
        <x:v>1</x:v>
      </x:c>
      <x:c r="D189" s="12" t="n">
        <x:f>'01 Sensory Input'!D189</x:f>
        <x:v>0.1</x:v>
      </x:c>
      <x:c r="E189" s="12" t="n">
        <x:f>'01 Sensory Input'!E189</x:f>
        <x:v>1</x:v>
      </x:c>
      <x:c r="F189" s="12" t="n">
        <x:f>'01 Sensory Input'!F189</x:f>
        <x:v>0.1</x:v>
      </x:c>
      <x:c r="G189" s="12" t="n">
        <x:f>'01 Sensory Input'!G189</x:f>
        <x:v>1</x:v>
      </x:c>
      <x:c r="H189" t="n">
        <x:f>'02a n'!C189</x:f>
        <x:v>1</x:v>
      </x:c>
      <x:c r="I189" t="n">
        <x:f>'02a n'!D189</x:f>
        <x:v>0</x:v>
      </x:c>
      <x:c r="J189" t="n">
        <x:f>'02a n'!E189</x:f>
        <x:v>1</x:v>
      </x:c>
      <x:c r="K189" t="n">
        <x:f>'02a n'!F189</x:f>
        <x:v>0</x:v>
      </x:c>
      <x:c r="L189" t="n">
        <x:f>'02a n'!G189</x:f>
        <x:v>1</x:v>
      </x:c>
      <x:c r="M189" t="n">
        <x:f>'02b n^-1'!C189</x:f>
        <x:v>1</x:v>
      </x:c>
      <x:c r="N189" t="n">
        <x:f>'02b n^-1'!D189</x:f>
        <x:v>1</x:v>
      </x:c>
      <x:c r="O189" t="n">
        <x:f>'02b n^-1'!E189</x:f>
        <x:v>1</x:v>
      </x:c>
      <x:c r="P189" t="n">
        <x:f>'02b n^-1'!F189</x:f>
        <x:v>1</x:v>
      </x:c>
      <x:c r="Q189" t="n">
        <x:f>'02b n^-1'!G189</x:f>
        <x:v>1</x:v>
      </x:c>
      <x:c r="R189" t="n">
        <x:f>'02b n^-1'!H189</x:f>
        <x:v>1</x:v>
      </x:c>
      <x:c r="S189" s="12" t="n">
        <x:f>'02c n^-2'!C189</x:f>
        <x:v>1</x:v>
      </x:c>
      <x:c r="T189" t="n">
        <x:f>'02c n^-2'!D189</x:f>
        <x:v>0</x:v>
      </x:c>
      <x:c r="U189" t="n">
        <x:f>'05 Gate Output'!H189</x:f>
        <x:v>0</x:v>
      </x:c>
      <x:c r="V189" t="n">
        <x:f>'05 Gate Output'!I189</x:f>
        <x:v>1</x:v>
      </x:c>
      <x:c r="W189" t="n">
        <x:f>'05 Gate Output'!J189</x:f>
        <x:v>1</x:v>
      </x:c>
      <x:c r="X189" t="n">
        <x:f>'05 Gate Output'!K189</x:f>
        <x:v>1</x:v>
      </x:c>
      <x:c r="Y189" t="n">
        <x:f>'05 Gate Output'!L189</x:f>
        <x:v>0</x:v>
      </x:c>
      <x:c r="Z189" t="n">
        <x:f>'05 Gate Output'!M189</x:f>
        <x:v>1</x:v>
      </x:c>
    </x:row>
    <x:row r="190">
      <x:c r="A190" t="n">
        <x:f>'01 Sensory Input'!A190</x:f>
        <x:v>10</x:v>
      </x:c>
      <x:c r="B190" t="n">
        <x:f>'01 Sensory Input'!B190</x:f>
        <x:v>5</x:v>
      </x:c>
      <x:c r="C190" s="12" t="n">
        <x:f>'01 Sensory Input'!C190</x:f>
        <x:v>1</x:v>
      </x:c>
      <x:c r="D190" s="12" t="n">
        <x:f>'01 Sensory Input'!D190</x:f>
        <x:v>1</x:v>
      </x:c>
      <x:c r="E190" s="12" t="n">
        <x:f>'01 Sensory Input'!E190</x:f>
        <x:v>1</x:v>
      </x:c>
      <x:c r="F190" s="12" t="n">
        <x:f>'01 Sensory Input'!F190</x:f>
        <x:v>1</x:v>
      </x:c>
      <x:c r="G190" s="12" t="n">
        <x:f>'01 Sensory Input'!G190</x:f>
        <x:v>1</x:v>
      </x:c>
      <x:c r="H190" t="n">
        <x:f>'02a n'!C190</x:f>
        <x:v>1</x:v>
      </x:c>
      <x:c r="I190" t="n">
        <x:f>'02a n'!D190</x:f>
        <x:v>1</x:v>
      </x:c>
      <x:c r="J190" t="n">
        <x:f>'02a n'!E190</x:f>
        <x:v>1</x:v>
      </x:c>
      <x:c r="K190" t="n">
        <x:f>'02a n'!F190</x:f>
        <x:v>1</x:v>
      </x:c>
      <x:c r="L190" t="n">
        <x:f>'02a n'!G190</x:f>
        <x:v>1</x:v>
      </x:c>
      <x:c r="M190" t="n">
        <x:f>'02b n^-1'!C190</x:f>
        <x:v>0</x:v>
      </x:c>
      <x:c r="N190" t="n">
        <x:f>'02b n^-1'!D190</x:f>
        <x:v>1</x:v>
      </x:c>
      <x:c r="O190" t="n">
        <x:f>'02b n^-1'!E190</x:f>
        <x:v>0</x:v>
      </x:c>
      <x:c r="P190" t="n">
        <x:f>'02b n^-1'!F190</x:f>
        <x:v>1</x:v>
      </x:c>
      <x:c r="Q190" t="n">
        <x:f>'02b n^-1'!G190</x:f>
        <x:v>0</x:v>
      </x:c>
      <x:c r="R190" t="n">
        <x:f>'02b n^-1'!H190</x:f>
        <x:v>1</x:v>
      </x:c>
      <x:c r="S190" s="12" t="n">
        <x:f>'02c n^-2'!C190</x:f>
        <x:v>0.5</x:v>
      </x:c>
      <x:c r="T190" t="n">
        <x:f>'02c n^-2'!D190</x:f>
        <x:v>1</x:v>
      </x:c>
      <x:c r="U190" t="n">
        <x:f>'05 Gate Output'!H190</x:f>
        <x:v>0</x:v>
      </x:c>
      <x:c r="V190" t="n">
        <x:f>'05 Gate Output'!I190</x:f>
        <x:v>1</x:v>
      </x:c>
      <x:c r="W190" t="n">
        <x:f>'05 Gate Output'!J190</x:f>
        <x:v>1</x:v>
      </x:c>
      <x:c r="X190" t="n">
        <x:f>'05 Gate Output'!K190</x:f>
        <x:v>1</x:v>
      </x:c>
      <x:c r="Y190" t="n">
        <x:f>'05 Gate Output'!L190</x:f>
        <x:v>0</x:v>
      </x:c>
      <x:c r="Z190" t="n">
        <x:f>'05 Gate Output'!M190</x:f>
        <x:v>1</x:v>
      </x:c>
    </x:row>
    <x:row r="191">
      <x:c r="A191" t="n">
        <x:f>'01 Sensory Input'!A191</x:f>
        <x:v>10</x:v>
      </x:c>
      <x:c r="B191" t="n">
        <x:f>'01 Sensory Input'!B191</x:f>
        <x:v>6</x:v>
      </x:c>
      <x:c r="C191" s="12" t="n">
        <x:f>'01 Sensory Input'!C191</x:f>
        <x:v>1</x:v>
      </x:c>
      <x:c r="D191" s="12" t="n">
        <x:f>'01 Sensory Input'!D191</x:f>
        <x:v>0.1</x:v>
      </x:c>
      <x:c r="E191" s="12" t="n">
        <x:f>'01 Sensory Input'!E191</x:f>
        <x:v>1</x:v>
      </x:c>
      <x:c r="F191" s="12" t="n">
        <x:f>'01 Sensory Input'!F191</x:f>
        <x:v>0.1</x:v>
      </x:c>
      <x:c r="G191" s="12" t="n">
        <x:f>'01 Sensory Input'!G191</x:f>
        <x:v>1</x:v>
      </x:c>
      <x:c r="H191" t="n">
        <x:f>'02a n'!C191</x:f>
        <x:v>1</x:v>
      </x:c>
      <x:c r="I191" t="n">
        <x:f>'02a n'!D191</x:f>
        <x:v>0</x:v>
      </x:c>
      <x:c r="J191" t="n">
        <x:f>'02a n'!E191</x:f>
        <x:v>1</x:v>
      </x:c>
      <x:c r="K191" t="n">
        <x:f>'02a n'!F191</x:f>
        <x:v>0</x:v>
      </x:c>
      <x:c r="L191" t="n">
        <x:f>'02a n'!G191</x:f>
        <x:v>1</x:v>
      </x:c>
      <x:c r="M191" t="n">
        <x:f>'02b n^-1'!C191</x:f>
        <x:v>0</x:v>
      </x:c>
      <x:c r="N191" t="n">
        <x:f>'02b n^-1'!D191</x:f>
        <x:v>1</x:v>
      </x:c>
      <x:c r="O191" t="n">
        <x:f>'02b n^-1'!E191</x:f>
        <x:v>0</x:v>
      </x:c>
      <x:c r="P191" t="n">
        <x:f>'02b n^-1'!F191</x:f>
        <x:v>1</x:v>
      </x:c>
      <x:c r="Q191" t="n">
        <x:f>'02b n^-1'!G191</x:f>
        <x:v>0</x:v>
      </x:c>
      <x:c r="R191" t="n">
        <x:f>'02b n^-1'!H191</x:f>
        <x:v>1</x:v>
      </x:c>
      <x:c r="S191" s="12" t="n">
        <x:f>'02c n^-2'!C191</x:f>
        <x:v>0.5</x:v>
      </x:c>
      <x:c r="T191" t="n">
        <x:f>'02c n^-2'!D191</x:f>
        <x:v>0</x:v>
      </x:c>
      <x:c r="U191" t="n">
        <x:f>'05 Gate Output'!H191</x:f>
        <x:v>0</x:v>
      </x:c>
      <x:c r="V191" t="n">
        <x:f>'05 Gate Output'!I191</x:f>
        <x:v>1</x:v>
      </x:c>
      <x:c r="W191" t="n">
        <x:f>'05 Gate Output'!J191</x:f>
        <x:v>1</x:v>
      </x:c>
      <x:c r="X191" t="n">
        <x:f>'05 Gate Output'!K191</x:f>
        <x:v>1</x:v>
      </x:c>
      <x:c r="Y191" t="n">
        <x:f>'05 Gate Output'!L191</x:f>
        <x:v>0</x:v>
      </x:c>
      <x:c r="Z191" t="n">
        <x:f>'05 Gate Output'!M191</x:f>
        <x:v>1</x:v>
      </x:c>
    </x:row>
    <x:row r="192">
      <x:c r="A192" t="n">
        <x:f>'01 Sensory Input'!A192</x:f>
        <x:v>10</x:v>
      </x:c>
      <x:c r="B192" t="n">
        <x:f>'01 Sensory Input'!B192</x:f>
        <x:v>7</x:v>
      </x:c>
      <x:c r="C192" s="12" t="n">
        <x:f>'01 Sensory Input'!C192</x:f>
        <x:v>0.1</x:v>
      </x:c>
      <x:c r="D192" s="12" t="n">
        <x:f>'01 Sensory Input'!D192</x:f>
        <x:v>1</x:v>
      </x:c>
      <x:c r="E192" s="12" t="n">
        <x:f>'01 Sensory Input'!E192</x:f>
        <x:v>0.1</x:v>
      </x:c>
      <x:c r="F192" s="12" t="n">
        <x:f>'01 Sensory Input'!F192</x:f>
        <x:v>1</x:v>
      </x:c>
      <x:c r="G192" s="12" t="n">
        <x:f>'01 Sensory Input'!G192</x:f>
        <x:v>0.1</x:v>
      </x:c>
      <x:c r="H192" t="n">
        <x:f>'02a n'!C192</x:f>
        <x:v>0</x:v>
      </x:c>
      <x:c r="I192" t="n">
        <x:f>'02a n'!D192</x:f>
        <x:v>1</x:v>
      </x:c>
      <x:c r="J192" t="n">
        <x:f>'02a n'!E192</x:f>
        <x:v>0</x:v>
      </x:c>
      <x:c r="K192" t="n">
        <x:f>'02a n'!F192</x:f>
        <x:v>1</x:v>
      </x:c>
      <x:c r="L192" t="n">
        <x:f>'02a n'!G192</x:f>
        <x:v>0</x:v>
      </x:c>
      <x:c r="M192" t="n">
        <x:f>'02b n^-1'!C192</x:f>
        <x:v>1</x:v>
      </x:c>
      <x:c r="N192" t="n">
        <x:f>'02b n^-1'!D192</x:f>
        <x:v>1</x:v>
      </x:c>
      <x:c r="O192" t="n">
        <x:f>'02b n^-1'!E192</x:f>
        <x:v>1</x:v>
      </x:c>
      <x:c r="P192" t="n">
        <x:f>'02b n^-1'!F192</x:f>
        <x:v>1</x:v>
      </x:c>
      <x:c r="Q192" t="n">
        <x:f>'02b n^-1'!G192</x:f>
        <x:v>1</x:v>
      </x:c>
      <x:c r="R192" t="n">
        <x:f>'02b n^-1'!H192</x:f>
        <x:v>1</x:v>
      </x:c>
      <x:c r="S192" s="12" t="n">
        <x:f>'02c n^-2'!C192</x:f>
        <x:v>1</x:v>
      </x:c>
      <x:c r="T192" t="n">
        <x:f>'02c n^-2'!D192</x:f>
        <x:v>1</x:v>
      </x:c>
      <x:c r="U192" t="n">
        <x:f>'05 Gate Output'!H192</x:f>
        <x:v>0</x:v>
      </x:c>
      <x:c r="V192" t="n">
        <x:f>'05 Gate Output'!I192</x:f>
        <x:v>1</x:v>
      </x:c>
      <x:c r="W192" t="n">
        <x:f>'05 Gate Output'!J192</x:f>
        <x:v>1</x:v>
      </x:c>
      <x:c r="X192" t="n">
        <x:f>'05 Gate Output'!K192</x:f>
        <x:v>1</x:v>
      </x:c>
      <x:c r="Y192" t="n">
        <x:f>'05 Gate Output'!L192</x:f>
        <x:v>0</x:v>
      </x:c>
      <x:c r="Z192" t="n">
        <x:f>'05 Gate Output'!M192</x:f>
        <x:v>1</x:v>
      </x:c>
    </x:row>
    <x:row r="193">
      <x:c r="A193" t="n">
        <x:f>'01 Sensory Input'!A193</x:f>
        <x:v>10</x:v>
      </x:c>
      <x:c r="B193" t="n">
        <x:f>'01 Sensory Input'!B193</x:f>
        <x:v>8</x:v>
      </x:c>
      <x:c r="C193" s="12" t="n">
        <x:f>'01 Sensory Input'!C193</x:f>
        <x:v>1</x:v>
      </x:c>
      <x:c r="D193" s="12" t="n">
        <x:f>'01 Sensory Input'!D193</x:f>
        <x:v>0.1</x:v>
      </x:c>
      <x:c r="E193" s="12" t="n">
        <x:f>'01 Sensory Input'!E193</x:f>
        <x:v>1</x:v>
      </x:c>
      <x:c r="F193" s="12" t="n">
        <x:f>'01 Sensory Input'!F193</x:f>
        <x:v>0.1</x:v>
      </x:c>
      <x:c r="G193" s="12" t="n">
        <x:f>'01 Sensory Input'!G193</x:f>
        <x:v>1</x:v>
      </x:c>
      <x:c r="H193" t="n">
        <x:f>'02a n'!C193</x:f>
        <x:v>1</x:v>
      </x:c>
      <x:c r="I193" t="n">
        <x:f>'02a n'!D193</x:f>
        <x:v>0</x:v>
      </x:c>
      <x:c r="J193" t="n">
        <x:f>'02a n'!E193</x:f>
        <x:v>1</x:v>
      </x:c>
      <x:c r="K193" t="n">
        <x:f>'02a n'!F193</x:f>
        <x:v>0</x:v>
      </x:c>
      <x:c r="L193" t="n">
        <x:f>'02a n'!G193</x:f>
        <x:v>1</x:v>
      </x:c>
      <x:c r="M193" t="n">
        <x:f>'02b n^-1'!C193</x:f>
        <x:v>1</x:v>
      </x:c>
      <x:c r="N193" t="n">
        <x:f>'02b n^-1'!D193</x:f>
        <x:v>1</x:v>
      </x:c>
      <x:c r="O193" t="n">
        <x:f>'02b n^-1'!E193</x:f>
        <x:v>1</x:v>
      </x:c>
      <x:c r="P193" t="n">
        <x:f>'02b n^-1'!F193</x:f>
        <x:v>1</x:v>
      </x:c>
      <x:c r="Q193" t="n">
        <x:f>'02b n^-1'!G193</x:f>
        <x:v>1</x:v>
      </x:c>
      <x:c r="R193" t="n">
        <x:f>'02b n^-1'!H193</x:f>
        <x:v>1</x:v>
      </x:c>
      <x:c r="S193" s="12" t="n">
        <x:f>'02c n^-2'!C193</x:f>
        <x:v>1</x:v>
      </x:c>
      <x:c r="T193" t="n">
        <x:f>'02c n^-2'!D193</x:f>
        <x:v>0</x:v>
      </x:c>
      <x:c r="U193" t="n">
        <x:f>'05 Gate Output'!H193</x:f>
        <x:v>0</x:v>
      </x:c>
      <x:c r="V193" t="n">
        <x:f>'05 Gate Output'!I193</x:f>
        <x:v>1</x:v>
      </x:c>
      <x:c r="W193" t="n">
        <x:f>'05 Gate Output'!J193</x:f>
        <x:v>1</x:v>
      </x:c>
      <x:c r="X193" t="n">
        <x:f>'05 Gate Output'!K193</x:f>
        <x:v>1</x:v>
      </x:c>
      <x:c r="Y193" t="n">
        <x:f>'05 Gate Output'!L193</x:f>
        <x:v>1</x:v>
      </x:c>
      <x:c r="Z193" t="n">
        <x:f>'05 Gate Output'!M193</x:f>
        <x:v>1</x:v>
      </x:c>
    </x:row>
    <x:row r="194">
      <x:c r="A194" t="n">
        <x:f>'01 Sensory Input'!A194</x:f>
        <x:v>10</x:v>
      </x:c>
      <x:c r="B194" t="n">
        <x:f>'01 Sensory Input'!B194</x:f>
        <x:v>9</x:v>
      </x:c>
      <x:c r="C194" s="12" t="n">
        <x:f>'01 Sensory Input'!C194</x:f>
        <x:v>0.1</x:v>
      </x:c>
      <x:c r="D194" s="12" t="n">
        <x:f>'01 Sensory Input'!D194</x:f>
        <x:v>1</x:v>
      </x:c>
      <x:c r="E194" s="12" t="n">
        <x:f>'01 Sensory Input'!E194</x:f>
        <x:v>0.1</x:v>
      </x:c>
      <x:c r="F194" s="12" t="n">
        <x:f>'01 Sensory Input'!F194</x:f>
        <x:v>1</x:v>
      </x:c>
      <x:c r="G194" s="12" t="n">
        <x:f>'01 Sensory Input'!G194</x:f>
        <x:v>0.1</x:v>
      </x:c>
      <x:c r="H194" t="n">
        <x:f>'02a n'!C194</x:f>
        <x:v>0</x:v>
      </x:c>
      <x:c r="I194" t="n">
        <x:f>'02a n'!D194</x:f>
        <x:v>1</x:v>
      </x:c>
      <x:c r="J194" t="n">
        <x:f>'02a n'!E194</x:f>
        <x:v>0</x:v>
      </x:c>
      <x:c r="K194" t="n">
        <x:f>'02a n'!F194</x:f>
        <x:v>1</x:v>
      </x:c>
      <x:c r="L194" t="n">
        <x:f>'02a n'!G194</x:f>
        <x:v>0</x:v>
      </x:c>
      <x:c r="M194" t="n">
        <x:f>'02b n^-1'!C194</x:f>
        <x:v>1</x:v>
      </x:c>
      <x:c r="N194" t="n">
        <x:f>'02b n^-1'!D194</x:f>
        <x:v>1</x:v>
      </x:c>
      <x:c r="O194" t="n">
        <x:f>'02b n^-1'!E194</x:f>
        <x:v>1</x:v>
      </x:c>
      <x:c r="P194" t="n">
        <x:f>'02b n^-1'!F194</x:f>
        <x:v>1</x:v>
      </x:c>
      <x:c r="Q194" t="n">
        <x:f>'02b n^-1'!G194</x:f>
        <x:v>1</x:v>
      </x:c>
      <x:c r="R194" t="n">
        <x:f>'02b n^-1'!H194</x:f>
        <x:v>1</x:v>
      </x:c>
      <x:c r="S194" s="12" t="n">
        <x:f>'02c n^-2'!C194</x:f>
        <x:v>1</x:v>
      </x:c>
      <x:c r="T194" t="n">
        <x:f>'02c n^-2'!D194</x:f>
        <x:v>0</x:v>
      </x:c>
      <x:c r="U194" t="n">
        <x:f>'05 Gate Output'!H194</x:f>
        <x:v>0</x:v>
      </x:c>
      <x:c r="V194" t="n">
        <x:f>'05 Gate Output'!I194</x:f>
        <x:v>1</x:v>
      </x:c>
      <x:c r="W194" t="n">
        <x:f>'05 Gate Output'!J194</x:f>
        <x:v>1</x:v>
      </x:c>
      <x:c r="X194" t="n">
        <x:f>'05 Gate Output'!K194</x:f>
        <x:v>1</x:v>
      </x:c>
      <x:c r="Y194" t="n">
        <x:f>'05 Gate Output'!L194</x:f>
        <x:v>1</x:v>
      </x:c>
      <x:c r="Z194" t="n">
        <x:f>'05 Gate Output'!M194</x:f>
        <x:v>1</x:v>
      </x:c>
    </x:row>
    <x:row r="195">
      <x:c r="A195" t="n">
        <x:f>'01 Sensory Input'!A195</x:f>
        <x:v>10</x:v>
      </x:c>
      <x:c r="B195" t="n">
        <x:f>'01 Sensory Input'!B195</x:f>
        <x:v>10</x:v>
      </x:c>
      <x:c r="C195" s="12" t="n">
        <x:f>'01 Sensory Input'!C195</x:f>
        <x:v>1</x:v>
      </x:c>
      <x:c r="D195" s="12" t="n">
        <x:f>'01 Sensory Input'!D195</x:f>
        <x:v>1</x:v>
      </x:c>
      <x:c r="E195" s="12" t="n">
        <x:f>'01 Sensory Input'!E195</x:f>
        <x:v>1</x:v>
      </x:c>
      <x:c r="F195" s="12" t="n">
        <x:f>'01 Sensory Input'!F195</x:f>
        <x:v>1</x:v>
      </x:c>
      <x:c r="G195" s="12" t="n">
        <x:f>'01 Sensory Input'!G195</x:f>
        <x:v>1</x:v>
      </x:c>
      <x:c r="H195" t="n">
        <x:f>'02a n'!C195</x:f>
        <x:v>1</x:v>
      </x:c>
      <x:c r="I195" t="n">
        <x:f>'02a n'!D195</x:f>
        <x:v>1</x:v>
      </x:c>
      <x:c r="J195" t="n">
        <x:f>'02a n'!E195</x:f>
        <x:v>1</x:v>
      </x:c>
      <x:c r="K195" t="n">
        <x:f>'02a n'!F195</x:f>
        <x:v>1</x:v>
      </x:c>
      <x:c r="L195" t="n">
        <x:f>'02a n'!G195</x:f>
        <x:v>1</x:v>
      </x:c>
      <x:c r="M195" t="n">
        <x:f>'02b n^-1'!C195</x:f>
        <x:v>1</x:v>
      </x:c>
      <x:c r="N195" t="n">
        <x:f>'02b n^-1'!D195</x:f>
        <x:v>0</x:v>
      </x:c>
      <x:c r="O195" t="n">
        <x:f>'02b n^-1'!E195</x:f>
        <x:v>1</x:v>
      </x:c>
      <x:c r="P195" t="n">
        <x:f>'02b n^-1'!F195</x:f>
        <x:v>0</x:v>
      </x:c>
      <x:c r="Q195" t="n">
        <x:f>'02b n^-1'!G195</x:f>
        <x:v>1</x:v>
      </x:c>
      <x:c r="R195" t="n">
        <x:f>'02b n^-1'!H195</x:f>
        <x:v>1</x:v>
      </x:c>
      <x:c r="S195" s="12" t="n">
        <x:f>'02c n^-2'!C195</x:f>
        <x:v>0.6666666666666666</x:v>
      </x:c>
      <x:c r="T195" t="n">
        <x:f>'02c n^-2'!D195</x:f>
        <x:v>1</x:v>
      </x:c>
      <x:c r="U195" t="n">
        <x:f>'05 Gate Output'!H195</x:f>
        <x:v>0</x:v>
      </x:c>
      <x:c r="V195" t="n">
        <x:f>'05 Gate Output'!I195</x:f>
        <x:v>1</x:v>
      </x:c>
      <x:c r="W195" t="n">
        <x:f>'05 Gate Output'!J195</x:f>
        <x:v>1</x:v>
      </x:c>
      <x:c r="X195" t="n">
        <x:f>'05 Gate Output'!K195</x:f>
        <x:v>1</x:v>
      </x:c>
      <x:c r="Y195" t="n">
        <x:f>'05 Gate Output'!L195</x:f>
        <x:v>1</x:v>
      </x:c>
      <x:c r="Z195" t="n">
        <x:f>'05 Gate Output'!M195</x:f>
        <x:v>1</x:v>
      </x:c>
    </x:row>
    <x:row r="196">
      <x:c r="A196" t="n">
        <x:f>'01 Sensory Input'!A196</x:f>
        <x:v>10</x:v>
      </x:c>
      <x:c r="B196" t="n">
        <x:f>'01 Sensory Input'!B196</x:f>
        <x:v>11</x:v>
      </x:c>
      <x:c r="C196" s="12" t="n">
        <x:f>'01 Sensory Input'!C196</x:f>
        <x:v>0.1</x:v>
      </x:c>
      <x:c r="D196" s="12" t="n">
        <x:f>'01 Sensory Input'!D196</x:f>
        <x:v>1</x:v>
      </x:c>
      <x:c r="E196" s="12" t="n">
        <x:f>'01 Sensory Input'!E196</x:f>
        <x:v>0.1</x:v>
      </x:c>
      <x:c r="F196" s="12" t="n">
        <x:f>'01 Sensory Input'!F196</x:f>
        <x:v>1</x:v>
      </x:c>
      <x:c r="G196" s="12" t="n">
        <x:f>'01 Sensory Input'!G196</x:f>
        <x:v>0.1</x:v>
      </x:c>
      <x:c r="H196" t="n">
        <x:f>'02a n'!C196</x:f>
        <x:v>0</x:v>
      </x:c>
      <x:c r="I196" t="n">
        <x:f>'02a n'!D196</x:f>
        <x:v>1</x:v>
      </x:c>
      <x:c r="J196" t="n">
        <x:f>'02a n'!E196</x:f>
        <x:v>0</x:v>
      </x:c>
      <x:c r="K196" t="n">
        <x:f>'02a n'!F196</x:f>
        <x:v>1</x:v>
      </x:c>
      <x:c r="L196" t="n">
        <x:f>'02a n'!G196</x:f>
        <x:v>0</x:v>
      </x:c>
      <x:c r="M196" t="n">
        <x:f>'02b n^-1'!C196</x:f>
        <x:v>1</x:v>
      </x:c>
      <x:c r="N196" t="n">
        <x:f>'02b n^-1'!D196</x:f>
        <x:v>0</x:v>
      </x:c>
      <x:c r="O196" t="n">
        <x:f>'02b n^-1'!E196</x:f>
        <x:v>1</x:v>
      </x:c>
      <x:c r="P196" t="n">
        <x:f>'02b n^-1'!F196</x:f>
        <x:v>0</x:v>
      </x:c>
      <x:c r="Q196" t="n">
        <x:f>'02b n^-1'!G196</x:f>
        <x:v>1</x:v>
      </x:c>
      <x:c r="R196" t="n">
        <x:f>'02b n^-1'!H196</x:f>
        <x:v>1</x:v>
      </x:c>
      <x:c r="S196" s="12" t="n">
        <x:f>'02c n^-2'!C196</x:f>
        <x:v>0.6666666666666666</x:v>
      </x:c>
      <x:c r="T196" t="n">
        <x:f>'02c n^-2'!D196</x:f>
        <x:v>0</x:v>
      </x:c>
      <x:c r="U196" t="n">
        <x:f>'05 Gate Output'!H196</x:f>
        <x:v>0</x:v>
      </x:c>
      <x:c r="V196" t="n">
        <x:f>'05 Gate Output'!I196</x:f>
        <x:v>1</x:v>
      </x:c>
      <x:c r="W196" t="n">
        <x:f>'05 Gate Output'!J196</x:f>
        <x:v>1</x:v>
      </x:c>
      <x:c r="X196" t="n">
        <x:f>'05 Gate Output'!K196</x:f>
        <x:v>1</x:v>
      </x:c>
      <x:c r="Y196" t="n">
        <x:f>'05 Gate Output'!L196</x:f>
        <x:v>1</x:v>
      </x:c>
      <x:c r="Z196" t="n">
        <x:f>'05 Gate Output'!M196</x:f>
        <x:v>1</x:v>
      </x:c>
    </x:row>
    <x:row r="197">
      <x:c r="A197" t="n">
        <x:f>'01 Sensory Input'!A197</x:f>
        <x:v>10</x:v>
      </x:c>
      <x:c r="B197" t="n">
        <x:f>'01 Sensory Input'!B197</x:f>
        <x:v>12</x:v>
      </x:c>
      <x:c r="C197" s="12" t="n">
        <x:f>'01 Sensory Input'!C197</x:f>
        <x:v>1</x:v>
      </x:c>
      <x:c r="D197" s="12" t="n">
        <x:f>'01 Sensory Input'!D197</x:f>
        <x:v>0.1</x:v>
      </x:c>
      <x:c r="E197" s="12" t="n">
        <x:f>'01 Sensory Input'!E197</x:f>
        <x:v>1</x:v>
      </x:c>
      <x:c r="F197" s="12" t="n">
        <x:f>'01 Sensory Input'!F197</x:f>
        <x:v>0.1</x:v>
      </x:c>
      <x:c r="G197" s="12" t="n">
        <x:f>'01 Sensory Input'!G197</x:f>
        <x:v>1</x:v>
      </x:c>
      <x:c r="H197" t="n">
        <x:f>'02a n'!C197</x:f>
        <x:v>1</x:v>
      </x:c>
      <x:c r="I197" t="n">
        <x:f>'02a n'!D197</x:f>
        <x:v>0</x:v>
      </x:c>
      <x:c r="J197" t="n">
        <x:f>'02a n'!E197</x:f>
        <x:v>1</x:v>
      </x:c>
      <x:c r="K197" t="n">
        <x:f>'02a n'!F197</x:f>
        <x:v>0</x:v>
      </x:c>
      <x:c r="L197" t="n">
        <x:f>'02a n'!G197</x:f>
        <x:v>1</x:v>
      </x:c>
      <x:c r="M197" t="n">
        <x:f>'02b n^-1'!C197</x:f>
        <x:v>1</x:v>
      </x:c>
      <x:c r="N197" t="n">
        <x:f>'02b n^-1'!D197</x:f>
        <x:v>1</x:v>
      </x:c>
      <x:c r="O197" t="n">
        <x:f>'02b n^-1'!E197</x:f>
        <x:v>1</x:v>
      </x:c>
      <x:c r="P197" t="n">
        <x:f>'02b n^-1'!F197</x:f>
        <x:v>1</x:v>
      </x:c>
      <x:c r="Q197" t="n">
        <x:f>'02b n^-1'!G197</x:f>
        <x:v>1</x:v>
      </x:c>
      <x:c r="R197" t="n">
        <x:f>'02b n^-1'!H197</x:f>
        <x:v>1</x:v>
      </x:c>
      <x:c r="S197" s="12" t="n">
        <x:f>'02c n^-2'!C197</x:f>
        <x:v>1</x:v>
      </x:c>
      <x:c r="T197" t="n">
        <x:f>'02c n^-2'!D197</x:f>
        <x:v>1</x:v>
      </x:c>
      <x:c r="U197" t="n">
        <x:f>'05 Gate Output'!H197</x:f>
        <x:v>0</x:v>
      </x:c>
      <x:c r="V197" t="n">
        <x:f>'05 Gate Output'!I197</x:f>
        <x:v>1</x:v>
      </x:c>
      <x:c r="W197" t="n">
        <x:f>'05 Gate Output'!J197</x:f>
        <x:v>1</x:v>
      </x:c>
      <x:c r="X197" t="n">
        <x:f>'05 Gate Output'!K197</x:f>
        <x:v>1</x:v>
      </x:c>
      <x:c r="Y197" t="n">
        <x:f>'05 Gate Output'!L197</x:f>
        <x:v>1</x:v>
      </x:c>
      <x:c r="Z197" t="n">
        <x:f>'05 Gate Output'!M197</x:f>
        <x:v>1</x:v>
      </x:c>
    </x:row>
    <x:row r="198">
      <x:c r="A198" t="n">
        <x:f>'01 Sensory Input'!A198</x:f>
        <x:v>10</x:v>
      </x:c>
      <x:c r="B198" t="n">
        <x:f>'01 Sensory Input'!B198</x:f>
        <x:v>13</x:v>
      </x:c>
      <x:c r="C198" s="12" t="n">
        <x:f>'01 Sensory Input'!C198</x:f>
        <x:v>0.1</x:v>
      </x:c>
      <x:c r="D198" s="12" t="n">
        <x:f>'01 Sensory Input'!D198</x:f>
        <x:v>1</x:v>
      </x:c>
      <x:c r="E198" s="12" t="n">
        <x:f>'01 Sensory Input'!E198</x:f>
        <x:v>0.1</x:v>
      </x:c>
      <x:c r="F198" s="12" t="n">
        <x:f>'01 Sensory Input'!F198</x:f>
        <x:v>1</x:v>
      </x:c>
      <x:c r="G198" s="12" t="n">
        <x:f>'01 Sensory Input'!G198</x:f>
        <x:v>0.1</x:v>
      </x:c>
      <x:c r="H198" t="n">
        <x:f>'02a n'!C198</x:f>
        <x:v>0</x:v>
      </x:c>
      <x:c r="I198" t="n">
        <x:f>'02a n'!D198</x:f>
        <x:v>1</x:v>
      </x:c>
      <x:c r="J198" t="n">
        <x:f>'02a n'!E198</x:f>
        <x:v>0</x:v>
      </x:c>
      <x:c r="K198" t="n">
        <x:f>'02a n'!F198</x:f>
        <x:v>1</x:v>
      </x:c>
      <x:c r="L198" t="n">
        <x:f>'02a n'!G198</x:f>
        <x:v>0</x:v>
      </x:c>
      <x:c r="M198" t="n">
        <x:f>'02b n^-1'!C198</x:f>
        <x:v>1</x:v>
      </x:c>
      <x:c r="N198" t="n">
        <x:f>'02b n^-1'!D198</x:f>
        <x:v>1</x:v>
      </x:c>
      <x:c r="O198" t="n">
        <x:f>'02b n^-1'!E198</x:f>
        <x:v>1</x:v>
      </x:c>
      <x:c r="P198" t="n">
        <x:f>'02b n^-1'!F198</x:f>
        <x:v>1</x:v>
      </x:c>
      <x:c r="Q198" t="n">
        <x:f>'02b n^-1'!G198</x:f>
        <x:v>1</x:v>
      </x:c>
      <x:c r="R198" t="n">
        <x:f>'02b n^-1'!H198</x:f>
        <x:v>1</x:v>
      </x:c>
      <x:c r="S198" s="12" t="n">
        <x:f>'02c n^-2'!C198</x:f>
        <x:v>1</x:v>
      </x:c>
      <x:c r="T198" t="n">
        <x:f>'02c n^-2'!D198</x:f>
        <x:v>0</x:v>
      </x:c>
      <x:c r="U198" t="n">
        <x:f>'05 Gate Output'!H198</x:f>
        <x:v>0</x:v>
      </x:c>
      <x:c r="V198" t="n">
        <x:f>'05 Gate Output'!I198</x:f>
        <x:v>1</x:v>
      </x:c>
      <x:c r="W198" t="n">
        <x:f>'05 Gate Output'!J198</x:f>
        <x:v>1</x:v>
      </x:c>
      <x:c r="X198" t="n">
        <x:f>'05 Gate Output'!K198</x:f>
        <x:v>1</x:v>
      </x:c>
      <x:c r="Y198" t="n">
        <x:f>'05 Gate Output'!L198</x:f>
        <x:v>1</x:v>
      </x:c>
      <x:c r="Z198" t="n">
        <x:f>'05 Gate Output'!M198</x:f>
        <x:v>1</x:v>
      </x:c>
    </x:row>
    <x:row r="199">
      <x:c r="A199" t="n">
        <x:f>'01 Sensory Input'!A199</x:f>
        <x:v>10</x:v>
      </x:c>
      <x:c r="B199" t="n">
        <x:f>'01 Sensory Input'!B199</x:f>
        <x:v>14</x:v>
      </x:c>
      <x:c r="C199" s="12" t="n">
        <x:f>'01 Sensory Input'!C199</x:f>
        <x:v>1</x:v>
      </x:c>
      <x:c r="D199" s="12" t="n">
        <x:f>'01 Sensory Input'!D199</x:f>
        <x:v>0.1</x:v>
      </x:c>
      <x:c r="E199" s="12" t="n">
        <x:f>'01 Sensory Input'!E199</x:f>
        <x:v>1</x:v>
      </x:c>
      <x:c r="F199" s="12" t="n">
        <x:f>'01 Sensory Input'!F199</x:f>
        <x:v>0.1</x:v>
      </x:c>
      <x:c r="G199" s="12" t="n">
        <x:f>'01 Sensory Input'!G199</x:f>
        <x:v>1</x:v>
      </x:c>
      <x:c r="H199" t="n">
        <x:f>'02a n'!C199</x:f>
        <x:v>1</x:v>
      </x:c>
      <x:c r="I199" t="n">
        <x:f>'02a n'!D199</x:f>
        <x:v>0</x:v>
      </x:c>
      <x:c r="J199" t="n">
        <x:f>'02a n'!E199</x:f>
        <x:v>1</x:v>
      </x:c>
      <x:c r="K199" t="n">
        <x:f>'02a n'!F199</x:f>
        <x:v>0</x:v>
      </x:c>
      <x:c r="L199" t="n">
        <x:f>'02a n'!G199</x:f>
        <x:v>1</x:v>
      </x:c>
      <x:c r="M199" t="n">
        <x:f>'02b n^-1'!C199</x:f>
        <x:v>1</x:v>
      </x:c>
      <x:c r="N199" t="n">
        <x:f>'02b n^-1'!D199</x:f>
        <x:v>1</x:v>
      </x:c>
      <x:c r="O199" t="n">
        <x:f>'02b n^-1'!E199</x:f>
        <x:v>1</x:v>
      </x:c>
      <x:c r="P199" t="n">
        <x:f>'02b n^-1'!F199</x:f>
        <x:v>1</x:v>
      </x:c>
      <x:c r="Q199" t="n">
        <x:f>'02b n^-1'!G199</x:f>
        <x:v>1</x:v>
      </x:c>
      <x:c r="R199" t="n">
        <x:f>'02b n^-1'!H199</x:f>
        <x:v>1</x:v>
      </x:c>
      <x:c r="S199" s="12" t="n">
        <x:f>'02c n^-2'!C199</x:f>
        <x:v>1</x:v>
      </x:c>
      <x:c r="T199" t="n">
        <x:f>'02c n^-2'!D199</x:f>
        <x:v>0</x:v>
      </x:c>
      <x:c r="U199" t="n">
        <x:f>'05 Gate Output'!H199</x:f>
        <x:v>0</x:v>
      </x:c>
      <x:c r="V199" t="n">
        <x:f>'05 Gate Output'!I199</x:f>
        <x:v>1</x:v>
      </x:c>
      <x:c r="W199" t="n">
        <x:f>'05 Gate Output'!J199</x:f>
        <x:v>1</x:v>
      </x:c>
      <x:c r="X199" t="n">
        <x:f>'05 Gate Output'!K199</x:f>
        <x:v>1</x:v>
      </x:c>
      <x:c r="Y199" t="n">
        <x:f>'05 Gate Output'!L199</x:f>
        <x:v>1</x:v>
      </x:c>
      <x:c r="Z199" t="n">
        <x:f>'05 Gate Output'!M199</x:f>
        <x:v>1</x:v>
      </x:c>
    </x:row>
    <x:row r="200">
      <x:c r="A200" t="n">
        <x:f>'01 Sensory Input'!A200</x:f>
        <x:v>10</x:v>
      </x:c>
      <x:c r="B200" t="n">
        <x:f>'01 Sensory Input'!B200</x:f>
        <x:v>15</x:v>
      </x:c>
      <x:c r="C200" s="12" t="n">
        <x:f>'01 Sensory Input'!C200</x:f>
        <x:v>1</x:v>
      </x:c>
      <x:c r="D200" s="12" t="n">
        <x:f>'01 Sensory Input'!D200</x:f>
        <x:v>1</x:v>
      </x:c>
      <x:c r="E200" s="12" t="n">
        <x:f>'01 Sensory Input'!E200</x:f>
        <x:v>1</x:v>
      </x:c>
      <x:c r="F200" s="12" t="n">
        <x:f>'01 Sensory Input'!F200</x:f>
        <x:v>1</x:v>
      </x:c>
      <x:c r="G200" s="12" t="n">
        <x:f>'01 Sensory Input'!G200</x:f>
        <x:v>1</x:v>
      </x:c>
      <x:c r="H200" t="n">
        <x:f>'02a n'!C200</x:f>
        <x:v>1</x:v>
      </x:c>
      <x:c r="I200" t="n">
        <x:f>'02a n'!D200</x:f>
        <x:v>1</x:v>
      </x:c>
      <x:c r="J200" t="n">
        <x:f>'02a n'!E200</x:f>
        <x:v>1</x:v>
      </x:c>
      <x:c r="K200" t="n">
        <x:f>'02a n'!F200</x:f>
        <x:v>1</x:v>
      </x:c>
      <x:c r="L200" t="n">
        <x:f>'02a n'!G200</x:f>
        <x:v>1</x:v>
      </x:c>
      <x:c r="M200" t="n">
        <x:f>'02b n^-1'!C200</x:f>
        <x:v>0</x:v>
      </x:c>
      <x:c r="N200" t="n">
        <x:f>'02b n^-1'!D200</x:f>
        <x:v>1</x:v>
      </x:c>
      <x:c r="O200" t="n">
        <x:f>'02b n^-1'!E200</x:f>
        <x:v>0</x:v>
      </x:c>
      <x:c r="P200" t="n">
        <x:f>'02b n^-1'!F200</x:f>
        <x:v>1</x:v>
      </x:c>
      <x:c r="Q200" t="n">
        <x:f>'02b n^-1'!G200</x:f>
        <x:v>0</x:v>
      </x:c>
      <x:c r="R200" t="n">
        <x:f>'02b n^-1'!H200</x:f>
        <x:v>1</x:v>
      </x:c>
      <x:c r="S200" s="12" t="n">
        <x:f>'02c n^-2'!C200</x:f>
        <x:v>0.5</x:v>
      </x:c>
      <x:c r="T200" t="n">
        <x:f>'02c n^-2'!D200</x:f>
        <x:v>1</x:v>
      </x:c>
      <x:c r="U200" t="n">
        <x:f>'05 Gate Output'!H200</x:f>
        <x:v>0</x:v>
      </x:c>
      <x:c r="V200" t="n">
        <x:f>'05 Gate Output'!I200</x:f>
        <x:v>1</x:v>
      </x:c>
      <x:c r="W200" t="n">
        <x:f>'05 Gate Output'!J200</x:f>
        <x:v>1</x:v>
      </x:c>
      <x:c r="X200" t="n">
        <x:f>'05 Gate Output'!K200</x:f>
        <x:v>1</x:v>
      </x:c>
      <x:c r="Y200" t="n">
        <x:f>'05 Gate Output'!L200</x:f>
        <x:v>1</x:v>
      </x:c>
      <x:c r="Z200" t="n">
        <x:f>'05 Gate Output'!M200</x:f>
        <x:v>1</x:v>
      </x:c>
    </x:row>
    <x:row r="201">
      <x:c r="A201" t="n">
        <x:f>'01 Sensory Input'!A201</x:f>
        <x:v>10</x:v>
      </x:c>
      <x:c r="B201" t="n">
        <x:f>'01 Sensory Input'!B201</x:f>
        <x:v>16</x:v>
      </x:c>
      <x:c r="C201" s="12" t="n">
        <x:f>'01 Sensory Input'!C201</x:f>
        <x:v>1</x:v>
      </x:c>
      <x:c r="D201" s="12" t="n">
        <x:f>'01 Sensory Input'!D201</x:f>
        <x:v>0.1</x:v>
      </x:c>
      <x:c r="E201" s="12" t="n">
        <x:f>'01 Sensory Input'!E201</x:f>
        <x:v>1</x:v>
      </x:c>
      <x:c r="F201" s="12" t="n">
        <x:f>'01 Sensory Input'!F201</x:f>
        <x:v>0.1</x:v>
      </x:c>
      <x:c r="G201" s="12" t="n">
        <x:f>'01 Sensory Input'!G201</x:f>
        <x:v>1</x:v>
      </x:c>
      <x:c r="H201" t="n">
        <x:f>'02a n'!C201</x:f>
        <x:v>1</x:v>
      </x:c>
      <x:c r="I201" t="n">
        <x:f>'02a n'!D201</x:f>
        <x:v>0</x:v>
      </x:c>
      <x:c r="J201" t="n">
        <x:f>'02a n'!E201</x:f>
        <x:v>1</x:v>
      </x:c>
      <x:c r="K201" t="n">
        <x:f>'02a n'!F201</x:f>
        <x:v>0</x:v>
      </x:c>
      <x:c r="L201" t="n">
        <x:f>'02a n'!G201</x:f>
        <x:v>1</x:v>
      </x:c>
      <x:c r="M201" t="n">
        <x:f>'02b n^-1'!C201</x:f>
        <x:v>0</x:v>
      </x:c>
      <x:c r="N201" t="n">
        <x:f>'02b n^-1'!D201</x:f>
        <x:v>1</x:v>
      </x:c>
      <x:c r="O201" t="n">
        <x:f>'02b n^-1'!E201</x:f>
        <x:v>0</x:v>
      </x:c>
      <x:c r="P201" t="n">
        <x:f>'02b n^-1'!F201</x:f>
        <x:v>1</x:v>
      </x:c>
      <x:c r="Q201" t="n">
        <x:f>'02b n^-1'!G201</x:f>
        <x:v>0</x:v>
      </x:c>
      <x:c r="R201" t="n">
        <x:f>'02b n^-1'!H201</x:f>
        <x:v>1</x:v>
      </x:c>
      <x:c r="S201" s="12" t="n">
        <x:f>'02c n^-2'!C201</x:f>
        <x:v>0.5</x:v>
      </x:c>
      <x:c r="T201" t="n">
        <x:f>'02c n^-2'!D201</x:f>
        <x:v>0</x:v>
      </x:c>
      <x:c r="U201" t="n">
        <x:f>'05 Gate Output'!H201</x:f>
        <x:v>0</x:v>
      </x:c>
      <x:c r="V201" t="n">
        <x:f>'05 Gate Output'!I201</x:f>
        <x:v>1</x:v>
      </x:c>
      <x:c r="W201" t="n">
        <x:f>'05 Gate Output'!J201</x:f>
        <x:v>1</x:v>
      </x:c>
      <x:c r="X201" t="n">
        <x:f>'05 Gate Output'!K201</x:f>
        <x:v>1</x:v>
      </x:c>
      <x:c r="Y201" t="n">
        <x:f>'05 Gate Output'!L201</x:f>
        <x:v>1</x:v>
      </x:c>
      <x:c r="Z201" t="n">
        <x:f>'05 Gate Output'!M201</x:f>
        <x:v>1</x:v>
      </x:c>
    </x:row>
    <x:row r="202">
      <x:c r="A202" t="n">
        <x:f>'01 Sensory Input'!A202</x:f>
        <x:v>10</x:v>
      </x:c>
      <x:c r="B202" t="n">
        <x:f>'01 Sensory Input'!B202</x:f>
        <x:v>17</x:v>
      </x:c>
      <x:c r="C202" s="12" t="n">
        <x:f>'01 Sensory Input'!C202</x:f>
        <x:v>0.1</x:v>
      </x:c>
      <x:c r="D202" s="12" t="n">
        <x:f>'01 Sensory Input'!D202</x:f>
        <x:v>1</x:v>
      </x:c>
      <x:c r="E202" s="12" t="n">
        <x:f>'01 Sensory Input'!E202</x:f>
        <x:v>0.1</x:v>
      </x:c>
      <x:c r="F202" s="12" t="n">
        <x:f>'01 Sensory Input'!F202</x:f>
        <x:v>1</x:v>
      </x:c>
      <x:c r="G202" s="12" t="n">
        <x:f>'01 Sensory Input'!G202</x:f>
        <x:v>0.1</x:v>
      </x:c>
      <x:c r="H202" t="n">
        <x:f>'02a n'!C202</x:f>
        <x:v>0</x:v>
      </x:c>
      <x:c r="I202" t="n">
        <x:f>'02a n'!D202</x:f>
        <x:v>1</x:v>
      </x:c>
      <x:c r="J202" t="n">
        <x:f>'02a n'!E202</x:f>
        <x:v>0</x:v>
      </x:c>
      <x:c r="K202" t="n">
        <x:f>'02a n'!F202</x:f>
        <x:v>1</x:v>
      </x:c>
      <x:c r="L202" t="n">
        <x:f>'02a n'!G202</x:f>
        <x:v>0</x:v>
      </x:c>
      <x:c r="M202" t="n">
        <x:f>'02b n^-1'!C202</x:f>
        <x:v>1</x:v>
      </x:c>
      <x:c r="N202" t="n">
        <x:f>'02b n^-1'!D202</x:f>
        <x:v>1</x:v>
      </x:c>
      <x:c r="O202" t="n">
        <x:f>'02b n^-1'!E202</x:f>
        <x:v>1</x:v>
      </x:c>
      <x:c r="P202" t="n">
        <x:f>'02b n^-1'!F202</x:f>
        <x:v>1</x:v>
      </x:c>
      <x:c r="Q202" t="n">
        <x:f>'02b n^-1'!G202</x:f>
        <x:v>1</x:v>
      </x:c>
      <x:c r="R202" t="n">
        <x:f>'02b n^-1'!H202</x:f>
        <x:v>1</x:v>
      </x:c>
      <x:c r="S202" s="12" t="n">
        <x:f>'02c n^-2'!C202</x:f>
        <x:v>1</x:v>
      </x:c>
      <x:c r="T202" t="n">
        <x:f>'02c n^-2'!D202</x:f>
        <x:v>1</x:v>
      </x:c>
      <x:c r="U202" t="n">
        <x:f>'05 Gate Output'!H202</x:f>
        <x:v>0</x:v>
      </x:c>
      <x:c r="V202" t="n">
        <x:f>'05 Gate Output'!I202</x:f>
        <x:v>1</x:v>
      </x:c>
      <x:c r="W202" t="n">
        <x:f>'05 Gate Output'!J202</x:f>
        <x:v>1</x:v>
      </x:c>
      <x:c r="X202" t="n">
        <x:f>'05 Gate Output'!K202</x:f>
        <x:v>1</x:v>
      </x:c>
      <x:c r="Y202" t="n">
        <x:f>'05 Gate Output'!L202</x:f>
        <x:v>1</x:v>
      </x:c>
      <x:c r="Z202" t="n">
        <x:f>'05 Gate Output'!M202</x:f>
        <x:v>1</x:v>
      </x:c>
    </x:row>
    <x:row r="203">
      <x:c r="A203" t="n">
        <x:f>'01 Sensory Input'!A203</x:f>
        <x:v>10</x:v>
      </x:c>
      <x:c r="B203" t="n">
        <x:f>'01 Sensory Input'!B203</x:f>
        <x:v>18</x:v>
      </x:c>
      <x:c r="C203" s="12" t="n">
        <x:f>'01 Sensory Input'!C203</x:f>
        <x:v>1</x:v>
      </x:c>
      <x:c r="D203" s="12" t="n">
        <x:f>'01 Sensory Input'!D203</x:f>
        <x:v>0.1</x:v>
      </x:c>
      <x:c r="E203" s="12" t="n">
        <x:f>'01 Sensory Input'!E203</x:f>
        <x:v>1</x:v>
      </x:c>
      <x:c r="F203" s="12" t="n">
        <x:f>'01 Sensory Input'!F203</x:f>
        <x:v>0.1</x:v>
      </x:c>
      <x:c r="G203" s="12" t="n">
        <x:f>'01 Sensory Input'!G203</x:f>
        <x:v>1</x:v>
      </x:c>
      <x:c r="H203" t="n">
        <x:f>'02a n'!C203</x:f>
        <x:v>1</x:v>
      </x:c>
      <x:c r="I203" t="n">
        <x:f>'02a n'!D203</x:f>
        <x:v>0</x:v>
      </x:c>
      <x:c r="J203" t="n">
        <x:f>'02a n'!E203</x:f>
        <x:v>1</x:v>
      </x:c>
      <x:c r="K203" t="n">
        <x:f>'02a n'!F203</x:f>
        <x:v>0</x:v>
      </x:c>
      <x:c r="L203" t="n">
        <x:f>'02a n'!G203</x:f>
        <x:v>1</x:v>
      </x:c>
      <x:c r="M203" t="n">
        <x:f>'02b n^-1'!C203</x:f>
        <x:v>1</x:v>
      </x:c>
      <x:c r="N203" t="n">
        <x:f>'02b n^-1'!D203</x:f>
        <x:v>1</x:v>
      </x:c>
      <x:c r="O203" t="n">
        <x:f>'02b n^-1'!E203</x:f>
        <x:v>1</x:v>
      </x:c>
      <x:c r="P203" t="n">
        <x:f>'02b n^-1'!F203</x:f>
        <x:v>1</x:v>
      </x:c>
      <x:c r="Q203" t="n">
        <x:f>'02b n^-1'!G203</x:f>
        <x:v>1</x:v>
      </x:c>
      <x:c r="R203" t="n">
        <x:f>'02b n^-1'!H203</x:f>
        <x:v>1</x:v>
      </x:c>
      <x:c r="S203" s="12" t="n">
        <x:f>'02c n^-2'!C203</x:f>
        <x:v>1</x:v>
      </x:c>
      <x:c r="T203" t="n">
        <x:f>'02c n^-2'!D203</x:f>
        <x:v>0</x:v>
      </x:c>
      <x:c r="U203" t="n">
        <x:f>'05 Gate Output'!H203</x:f>
        <x:v>0</x:v>
      </x:c>
      <x:c r="V203" t="n">
        <x:f>'05 Gate Output'!I203</x:f>
        <x:v>1</x:v>
      </x:c>
      <x:c r="W203" t="n">
        <x:f>'05 Gate Output'!J203</x:f>
        <x:v>1</x:v>
      </x:c>
      <x:c r="X203" t="n">
        <x:f>'05 Gate Output'!K203</x:f>
        <x:v>1</x:v>
      </x:c>
      <x:c r="Y203" t="n">
        <x:f>'05 Gate Output'!L203</x:f>
        <x:v>1</x:v>
      </x:c>
      <x:c r="Z203" t="n">
        <x:f>'05 Gate Output'!M203</x:f>
        <x:v>1</x:v>
      </x:c>
    </x:row>
    <x:row r="204">
      <x:c r="A204" t="n">
        <x:f>'01 Sensory Input'!A204</x:f>
        <x:v>10</x:v>
      </x:c>
      <x:c r="B204" t="n">
        <x:f>'01 Sensory Input'!B204</x:f>
        <x:v>19</x:v>
      </x:c>
      <x:c r="C204" s="12" t="n">
        <x:f>'01 Sensory Input'!C204</x:f>
        <x:v>0.1</x:v>
      </x:c>
      <x:c r="D204" s="12" t="n">
        <x:f>'01 Sensory Input'!D204</x:f>
        <x:v>1</x:v>
      </x:c>
      <x:c r="E204" s="12" t="n">
        <x:f>'01 Sensory Input'!E204</x:f>
        <x:v>0.1</x:v>
      </x:c>
      <x:c r="F204" s="12" t="n">
        <x:f>'01 Sensory Input'!F204</x:f>
        <x:v>1</x:v>
      </x:c>
      <x:c r="G204" s="12" t="n">
        <x:f>'01 Sensory Input'!G204</x:f>
        <x:v>0.1</x:v>
      </x:c>
      <x:c r="H204" t="n">
        <x:f>'02a n'!C204</x:f>
        <x:v>0</x:v>
      </x:c>
      <x:c r="I204" t="n">
        <x:f>'02a n'!D204</x:f>
        <x:v>1</x:v>
      </x:c>
      <x:c r="J204" t="n">
        <x:f>'02a n'!E204</x:f>
        <x:v>0</x:v>
      </x:c>
      <x:c r="K204" t="n">
        <x:f>'02a n'!F204</x:f>
        <x:v>1</x:v>
      </x:c>
      <x:c r="L204" t="n">
        <x:f>'02a n'!G204</x:f>
        <x:v>0</x:v>
      </x:c>
      <x:c r="M204" t="n">
        <x:f>'02b n^-1'!C204</x:f>
        <x:v>1</x:v>
      </x:c>
      <x:c r="N204" t="n">
        <x:f>'02b n^-1'!D204</x:f>
        <x:v>1</x:v>
      </x:c>
      <x:c r="O204" t="n">
        <x:f>'02b n^-1'!E204</x:f>
        <x:v>1</x:v>
      </x:c>
      <x:c r="P204" t="n">
        <x:f>'02b n^-1'!F204</x:f>
        <x:v>1</x:v>
      </x:c>
      <x:c r="Q204" t="n">
        <x:f>'02b n^-1'!G204</x:f>
        <x:v>1</x:v>
      </x:c>
      <x:c r="R204" t="n">
        <x:f>'02b n^-1'!H204</x:f>
        <x:v>1</x:v>
      </x:c>
      <x:c r="S204" s="12" t="n">
        <x:f>'02c n^-2'!C204</x:f>
        <x:v>1</x:v>
      </x:c>
      <x:c r="T204" t="n">
        <x:f>'02c n^-2'!D204</x:f>
        <x:v>0</x:v>
      </x:c>
      <x:c r="U204" t="n">
        <x:f>'05 Gate Output'!H204</x:f>
        <x:v>0</x:v>
      </x:c>
      <x:c r="V204" t="n">
        <x:f>'05 Gate Output'!I204</x:f>
        <x:v>1</x:v>
      </x:c>
      <x:c r="W204" t="n">
        <x:f>'05 Gate Output'!J204</x:f>
        <x:v>1</x:v>
      </x:c>
      <x:c r="X204" t="n">
        <x:f>'05 Gate Output'!K204</x:f>
        <x:v>1</x:v>
      </x:c>
      <x:c r="Y204" t="n">
        <x:f>'05 Gate Output'!L204</x:f>
        <x:v>1</x:v>
      </x:c>
      <x:c r="Z204" t="n">
        <x:f>'05 Gate Output'!M204</x:f>
        <x:v>1</x:v>
      </x:c>
    </x:row>
    <x:row r="205">
      <x:c r="A205" t="n">
        <x:f>'01 Sensory Input'!A205</x:f>
        <x:v>10</x:v>
      </x:c>
      <x:c r="B205" t="n">
        <x:f>'01 Sensory Input'!B205</x:f>
        <x:v>20</x:v>
      </x:c>
      <x:c r="C205" s="12" t="n">
        <x:f>'01 Sensory Input'!C205</x:f>
        <x:v>1</x:v>
      </x:c>
      <x:c r="D205" s="12" t="n">
        <x:f>'01 Sensory Input'!D205</x:f>
        <x:v>1</x:v>
      </x:c>
      <x:c r="E205" s="12" t="n">
        <x:f>'01 Sensory Input'!E205</x:f>
        <x:v>1</x:v>
      </x:c>
      <x:c r="F205" s="12" t="n">
        <x:f>'01 Sensory Input'!F205</x:f>
        <x:v>1</x:v>
      </x:c>
      <x:c r="G205" s="12" t="n">
        <x:f>'01 Sensory Input'!G205</x:f>
        <x:v>1</x:v>
      </x:c>
      <x:c r="H205" t="n">
        <x:f>'02a n'!C205</x:f>
        <x:v>1</x:v>
      </x:c>
      <x:c r="I205" t="n">
        <x:f>'02a n'!D205</x:f>
        <x:v>1</x:v>
      </x:c>
      <x:c r="J205" t="n">
        <x:f>'02a n'!E205</x:f>
        <x:v>1</x:v>
      </x:c>
      <x:c r="K205" t="n">
        <x:f>'02a n'!F205</x:f>
        <x:v>1</x:v>
      </x:c>
      <x:c r="L205" t="n">
        <x:f>'02a n'!G205</x:f>
        <x:v>1</x:v>
      </x:c>
      <x:c r="M205" t="n">
        <x:f>'02b n^-1'!C205</x:f>
        <x:v>1</x:v>
      </x:c>
      <x:c r="N205" t="n">
        <x:f>'02b n^-1'!D205</x:f>
        <x:v>0</x:v>
      </x:c>
      <x:c r="O205" t="n">
        <x:f>'02b n^-1'!E205</x:f>
        <x:v>1</x:v>
      </x:c>
      <x:c r="P205" t="n">
        <x:f>'02b n^-1'!F205</x:f>
        <x:v>0</x:v>
      </x:c>
      <x:c r="Q205" t="n">
        <x:f>'02b n^-1'!G205</x:f>
        <x:v>1</x:v>
      </x:c>
      <x:c r="R205" t="n">
        <x:f>'02b n^-1'!H205</x:f>
        <x:v>1</x:v>
      </x:c>
      <x:c r="S205" s="12" t="n">
        <x:f>'02c n^-2'!C205</x:f>
        <x:v>0.6666666666666666</x:v>
      </x:c>
      <x:c r="T205" t="n">
        <x:f>'02c n^-2'!D205</x:f>
        <x:v>1</x:v>
      </x:c>
      <x:c r="U205" t="n">
        <x:f>'05 Gate Output'!H205</x:f>
        <x:v>0</x:v>
      </x:c>
      <x:c r="V205" t="n">
        <x:f>'05 Gate Output'!I205</x:f>
        <x:v>1</x:v>
      </x:c>
      <x:c r="W205" t="n">
        <x:f>'05 Gate Output'!J205</x:f>
        <x:v>1</x:v>
      </x:c>
      <x:c r="X205" t="n">
        <x:f>'05 Gate Output'!K205</x:f>
        <x:v>1</x:v>
      </x:c>
      <x:c r="Y205" t="n">
        <x:f>'05 Gate Output'!L205</x:f>
        <x:v>1</x:v>
      </x:c>
      <x:c r="Z205" t="n">
        <x:f>'05 Gate Output'!M205</x:f>
        <x:v>1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670000076293945" hidden="0" customWidth="1"/>
    <x:col min="2" max="2" width="4.670000076293945" hidden="0" customWidth="1"/>
    <x:col min="3" max="3" width="4.670000076293945" hidden="0" customWidth="1"/>
    <x:col min="4" max="4" width="4.670000076293945" hidden="0" customWidth="1"/>
    <x:col min="5" max="5" width="4.670000076293945" hidden="0" customWidth="1"/>
    <x:col min="6" max="6" width="4.670000076293945" hidden="0" customWidth="1"/>
    <x:col min="7" max="7" width="4.670000076293945" hidden="0" customWidth="1"/>
  </x:cols>
  <x:sheetData>
    <x:row r="1" ht="19.5" customHeight="1">
      <x:c r="A1" s="4" t="str">
        <x:v>01 Sensory Input</x:v>
      </x:c>
      <x:c r="B1" s="4" t="str">
        <x:v>01 Sensory Input</x:v>
      </x:c>
      <x:c r="C1" s="4" t="str">
        <x:v>01 Sensory Input</x:v>
      </x:c>
      <x:c r="D1" s="4" t="str">
        <x:v>01 Sensory Input</x:v>
      </x:c>
      <x:c r="E1" s="4" t="str">
        <x:v>01 Sensory Input</x:v>
      </x:c>
      <x:c r="F1" s="4" t="str">
        <x:v>01 Sensory Input</x:v>
      </x:c>
      <x:c r="G1" s="4" t="str">
        <x:v>01 Sensory Input</x:v>
      </x:c>
    </x:row>
    <x:row r="2" ht="18" customHeight="1">
      <x:c r="A2" s="6" t="str">
        <x:v>Rows replace the live stream for this test. Values stay numeric.</x:v>
      </x:c>
      <x:c r="B2" s="6" t="str">
        <x:v>Rows replace the live stream for this test. Values stay numeric.</x:v>
      </x:c>
      <x:c r="C2" s="6" t="str">
        <x:v>Rows replace the live stream for this test. Values stay numeric.</x:v>
      </x:c>
      <x:c r="D2" s="6" t="str">
        <x:v>Rows replace the live stream for this test. Values stay numeric.</x:v>
      </x:c>
      <x:c r="E2" s="6" t="str">
        <x:v>Rows replace the live stream for this test. Values stay numeric.</x:v>
      </x:c>
      <x:c r="F2" s="6" t="str">
        <x:v>Rows replace the live stream for this test. Values stay numeric.</x:v>
      </x:c>
      <x:c r="G2" s="6" t="str">
        <x:v>Rows replace the live stream for this test. Values stay numeric.</x:v>
      </x:c>
    </x:row>
    <x:row r="3">
      <x:c r="A3" t="str">
        <x:v>n</x:v>
      </x:c>
      <x:c r="B3" t="n">
        <x:v>1</x:v>
      </x:c>
    </x:row>
    <x:row r="4">
      <x:c r="A4" t="str">
        <x:v>n^-1</x:v>
      </x:c>
      <x:c r="B4" t="n">
        <x:v>0.5</x:v>
      </x:c>
    </x:row>
    <x:row r="5">
      <x:c r="A5" s="9" t="str">
        <x:v>sample</x:v>
      </x:c>
      <x:c r="B5" s="10" t="str">
        <x:v>tick</x:v>
      </x:c>
      <x:c r="C5" s="10" t="str">
        <x:v>b</x:v>
      </x:c>
      <x:c r="D5" s="10" t="str">
        <x:v>v</x:v>
      </x:c>
      <x:c r="E5" s="10" t="str">
        <x:v>to</x:v>
      </x:c>
      <x:c r="F5" s="10" t="str">
        <x:v>ta</x:v>
      </x:c>
      <x:c r="G5" s="11" t="str">
        <x:v>s</x:v>
      </x:c>
    </x:row>
    <x:row r="6">
      <x:c r="A6" t="n">
        <x:v>1</x:v>
      </x:c>
      <x:c r="B6" t="n">
        <x:v>1</x:v>
      </x:c>
      <x:c r="C6" s="12" t="n">
        <x:v>0.47</x:v>
      </x:c>
      <x:c r="D6" s="12" t="n">
        <x:v>0.42</x:v>
      </x:c>
      <x:c r="E6" s="12" t="n">
        <x:v>0.33</x:v>
      </x:c>
      <x:c r="F6" s="12" t="n">
        <x:v>0.21</x:v>
      </x:c>
      <x:c r="G6" s="12" t="n">
        <x:v>0.27</x:v>
      </x:c>
    </x:row>
    <x:row r="7">
      <x:c r="A7" t="n">
        <x:v>1</x:v>
      </x:c>
      <x:c r="B7" t="n">
        <x:v>2</x:v>
      </x:c>
      <x:c r="C7" s="12" t="n">
        <x:v>0.49</x:v>
      </x:c>
      <x:c r="D7" s="12" t="n">
        <x:v>0.44</x:v>
      </x:c>
      <x:c r="E7" s="12" t="n">
        <x:v>0.3</x:v>
      </x:c>
      <x:c r="F7" s="12" t="n">
        <x:v>0.22</x:v>
      </x:c>
      <x:c r="G7" s="12" t="n">
        <x:v>0.29</x:v>
      </x:c>
    </x:row>
    <x:row r="8">
      <x:c r="A8" t="n">
        <x:v>1</x:v>
      </x:c>
      <x:c r="B8" t="n">
        <x:v>3</x:v>
      </x:c>
      <x:c r="C8" s="12" t="n">
        <x:v>0.45</x:v>
      </x:c>
      <x:c r="D8" s="12" t="n">
        <x:v>0.46</x:v>
      </x:c>
      <x:c r="E8" s="12" t="n">
        <x:v>0.33</x:v>
      </x:c>
      <x:c r="F8" s="12" t="n">
        <x:v>0.23</x:v>
      </x:c>
      <x:c r="G8" s="12" t="n">
        <x:v>0.25</x:v>
      </x:c>
    </x:row>
    <x:row r="9">
      <x:c r="A9" t="n">
        <x:v>1</x:v>
      </x:c>
      <x:c r="B9" t="n">
        <x:v>4</x:v>
      </x:c>
      <x:c r="C9" s="12" t="n">
        <x:v>0.47</x:v>
      </x:c>
      <x:c r="D9" s="12" t="n">
        <x:v>0.4</x:v>
      </x:c>
      <x:c r="E9" s="12" t="n">
        <x:v>0.3</x:v>
      </x:c>
      <x:c r="F9" s="12" t="n">
        <x:v>0.24</x:v>
      </x:c>
      <x:c r="G9" s="12" t="n">
        <x:v>0.27</x:v>
      </x:c>
    </x:row>
    <x:row r="10">
      <x:c r="A10" t="n">
        <x:v>1</x:v>
      </x:c>
      <x:c r="B10" t="n">
        <x:v>5</x:v>
      </x:c>
      <x:c r="C10" s="12" t="n">
        <x:v>0.49</x:v>
      </x:c>
      <x:c r="D10" s="12" t="n">
        <x:v>0.42</x:v>
      </x:c>
      <x:c r="E10" s="12" t="n">
        <x:v>0.33</x:v>
      </x:c>
      <x:c r="F10" s="12" t="n">
        <x:v>0.2</x:v>
      </x:c>
      <x:c r="G10" s="12" t="n">
        <x:v>0.29</x:v>
      </x:c>
    </x:row>
    <x:row r="11">
      <x:c r="A11" t="n">
        <x:v>1</x:v>
      </x:c>
      <x:c r="B11" t="n">
        <x:v>6</x:v>
      </x:c>
      <x:c r="C11" s="12" t="n">
        <x:v>0.45</x:v>
      </x:c>
      <x:c r="D11" s="12" t="n">
        <x:v>0.44</x:v>
      </x:c>
      <x:c r="E11" s="12" t="n">
        <x:v>0.3</x:v>
      </x:c>
      <x:c r="F11" s="12" t="n">
        <x:v>0.21</x:v>
      </x:c>
      <x:c r="G11" s="12" t="n">
        <x:v>0.25</x:v>
      </x:c>
    </x:row>
    <x:row r="12">
      <x:c r="A12" t="n">
        <x:v>1</x:v>
      </x:c>
      <x:c r="B12" t="n">
        <x:v>7</x:v>
      </x:c>
      <x:c r="C12" s="12" t="n">
        <x:v>0.47</x:v>
      </x:c>
      <x:c r="D12" s="12" t="n">
        <x:v>0.46</x:v>
      </x:c>
      <x:c r="E12" s="12" t="n">
        <x:v>0.33</x:v>
      </x:c>
      <x:c r="F12" s="12" t="n">
        <x:v>0.22</x:v>
      </x:c>
      <x:c r="G12" s="12" t="n">
        <x:v>0.27</x:v>
      </x:c>
    </x:row>
    <x:row r="13">
      <x:c r="A13" t="n">
        <x:v>1</x:v>
      </x:c>
      <x:c r="B13" t="n">
        <x:v>8</x:v>
      </x:c>
      <x:c r="C13" s="12" t="n">
        <x:v>0.49</x:v>
      </x:c>
      <x:c r="D13" s="12" t="n">
        <x:v>0.4</x:v>
      </x:c>
      <x:c r="E13" s="12" t="n">
        <x:v>0.3</x:v>
      </x:c>
      <x:c r="F13" s="12" t="n">
        <x:v>0.23</x:v>
      </x:c>
      <x:c r="G13" s="12" t="n">
        <x:v>0.29</x:v>
      </x:c>
    </x:row>
    <x:row r="14">
      <x:c r="A14" t="n">
        <x:v>1</x:v>
      </x:c>
      <x:c r="B14" t="n">
        <x:v>9</x:v>
      </x:c>
      <x:c r="C14" s="12" t="n">
        <x:v>0.45</x:v>
      </x:c>
      <x:c r="D14" s="12" t="n">
        <x:v>0.42</x:v>
      </x:c>
      <x:c r="E14" s="12" t="n">
        <x:v>0.33</x:v>
      </x:c>
      <x:c r="F14" s="12" t="n">
        <x:v>0.24</x:v>
      </x:c>
      <x:c r="G14" s="12" t="n">
        <x:v>0.25</x:v>
      </x:c>
    </x:row>
    <x:row r="15">
      <x:c r="A15" t="n">
        <x:v>1</x:v>
      </x:c>
      <x:c r="B15" t="n">
        <x:v>10</x:v>
      </x:c>
      <x:c r="C15" s="12" t="n">
        <x:v>0.47</x:v>
      </x:c>
      <x:c r="D15" s="12" t="n">
        <x:v>0.44</x:v>
      </x:c>
      <x:c r="E15" s="12" t="n">
        <x:v>0.3</x:v>
      </x:c>
      <x:c r="F15" s="12" t="n">
        <x:v>0.2</x:v>
      </x:c>
      <x:c r="G15" s="12" t="n">
        <x:v>0.27</x:v>
      </x:c>
    </x:row>
    <x:row r="16">
      <x:c r="A16" t="n">
        <x:v>1</x:v>
      </x:c>
      <x:c r="B16" t="n">
        <x:v>11</x:v>
      </x:c>
      <x:c r="C16" s="12" t="n">
        <x:v>0.49</x:v>
      </x:c>
      <x:c r="D16" s="12" t="n">
        <x:v>0.46</x:v>
      </x:c>
      <x:c r="E16" s="12" t="n">
        <x:v>0.33</x:v>
      </x:c>
      <x:c r="F16" s="12" t="n">
        <x:v>0.21</x:v>
      </x:c>
      <x:c r="G16" s="12" t="n">
        <x:v>0.29</x:v>
      </x:c>
    </x:row>
    <x:row r="17">
      <x:c r="A17" t="n">
        <x:v>1</x:v>
      </x:c>
      <x:c r="B17" t="n">
        <x:v>12</x:v>
      </x:c>
      <x:c r="C17" s="12" t="n">
        <x:v>0.45</x:v>
      </x:c>
      <x:c r="D17" s="12" t="n">
        <x:v>0.4</x:v>
      </x:c>
      <x:c r="E17" s="12" t="n">
        <x:v>0.3</x:v>
      </x:c>
      <x:c r="F17" s="12" t="n">
        <x:v>0.22</x:v>
      </x:c>
      <x:c r="G17" s="12" t="n">
        <x:v>0.25</x:v>
      </x:c>
    </x:row>
    <x:row r="18">
      <x:c r="A18" t="n">
        <x:v>1</x:v>
      </x:c>
      <x:c r="B18" t="n">
        <x:v>13</x:v>
      </x:c>
      <x:c r="C18" s="12" t="n">
        <x:v>0.47</x:v>
      </x:c>
      <x:c r="D18" s="12" t="n">
        <x:v>0.42</x:v>
      </x:c>
      <x:c r="E18" s="12" t="n">
        <x:v>0.33</x:v>
      </x:c>
      <x:c r="F18" s="12" t="n">
        <x:v>0.23</x:v>
      </x:c>
      <x:c r="G18" s="12" t="n">
        <x:v>0.27</x:v>
      </x:c>
    </x:row>
    <x:row r="19">
      <x:c r="A19" t="n">
        <x:v>1</x:v>
      </x:c>
      <x:c r="B19" t="n">
        <x:v>14</x:v>
      </x:c>
      <x:c r="C19" s="12" t="n">
        <x:v>0.49</x:v>
      </x:c>
      <x:c r="D19" s="12" t="n">
        <x:v>0.44</x:v>
      </x:c>
      <x:c r="E19" s="12" t="n">
        <x:v>0.3</x:v>
      </x:c>
      <x:c r="F19" s="12" t="n">
        <x:v>0.24</x:v>
      </x:c>
      <x:c r="G19" s="12" t="n">
        <x:v>0.29</x:v>
      </x:c>
    </x:row>
    <x:row r="20">
      <x:c r="A20" t="n">
        <x:v>1</x:v>
      </x:c>
      <x:c r="B20" t="n">
        <x:v>15</x:v>
      </x:c>
      <x:c r="C20" s="12" t="n">
        <x:v>0.45</x:v>
      </x:c>
      <x:c r="D20" s="12" t="n">
        <x:v>0.46</x:v>
      </x:c>
      <x:c r="E20" s="12" t="n">
        <x:v>0.33</x:v>
      </x:c>
      <x:c r="F20" s="12" t="n">
        <x:v>0.2</x:v>
      </x:c>
      <x:c r="G20" s="12" t="n">
        <x:v>0.25</x:v>
      </x:c>
    </x:row>
    <x:row r="21">
      <x:c r="A21" t="n">
        <x:v>1</x:v>
      </x:c>
      <x:c r="B21" t="n">
        <x:v>16</x:v>
      </x:c>
      <x:c r="C21" s="12" t="n">
        <x:v>0.47</x:v>
      </x:c>
      <x:c r="D21" s="12" t="n">
        <x:v>0.4</x:v>
      </x:c>
      <x:c r="E21" s="12" t="n">
        <x:v>0.3</x:v>
      </x:c>
      <x:c r="F21" s="12" t="n">
        <x:v>0.21</x:v>
      </x:c>
      <x:c r="G21" s="12" t="n">
        <x:v>0.27</x:v>
      </x:c>
    </x:row>
    <x:row r="22">
      <x:c r="A22" t="n">
        <x:v>1</x:v>
      </x:c>
      <x:c r="B22" t="n">
        <x:v>17</x:v>
      </x:c>
      <x:c r="C22" s="12" t="n">
        <x:v>0.49</x:v>
      </x:c>
      <x:c r="D22" s="12" t="n">
        <x:v>0.42</x:v>
      </x:c>
      <x:c r="E22" s="12" t="n">
        <x:v>0.33</x:v>
      </x:c>
      <x:c r="F22" s="12" t="n">
        <x:v>0.22</x:v>
      </x:c>
      <x:c r="G22" s="12" t="n">
        <x:v>0.29</x:v>
      </x:c>
    </x:row>
    <x:row r="23">
      <x:c r="A23" t="n">
        <x:v>1</x:v>
      </x:c>
      <x:c r="B23" t="n">
        <x:v>18</x:v>
      </x:c>
      <x:c r="C23" s="12" t="n">
        <x:v>0.45</x:v>
      </x:c>
      <x:c r="D23" s="12" t="n">
        <x:v>0.44</x:v>
      </x:c>
      <x:c r="E23" s="12" t="n">
        <x:v>0.3</x:v>
      </x:c>
      <x:c r="F23" s="12" t="n">
        <x:v>0.23</x:v>
      </x:c>
      <x:c r="G23" s="12" t="n">
        <x:v>0.25</x:v>
      </x:c>
    </x:row>
    <x:row r="24">
      <x:c r="A24" t="n">
        <x:v>1</x:v>
      </x:c>
      <x:c r="B24" t="n">
        <x:v>19</x:v>
      </x:c>
      <x:c r="C24" s="12" t="n">
        <x:v>0.47</x:v>
      </x:c>
      <x:c r="D24" s="12" t="n">
        <x:v>0.46</x:v>
      </x:c>
      <x:c r="E24" s="12" t="n">
        <x:v>0.33</x:v>
      </x:c>
      <x:c r="F24" s="12" t="n">
        <x:v>0.24</x:v>
      </x:c>
      <x:c r="G24" s="12" t="n">
        <x:v>0.27</x:v>
      </x:c>
    </x:row>
    <x:row r="25">
      <x:c r="A25" t="n">
        <x:v>1</x:v>
      </x:c>
      <x:c r="B25" t="n">
        <x:v>20</x:v>
      </x:c>
      <x:c r="C25" s="12" t="n">
        <x:v>0.49</x:v>
      </x:c>
      <x:c r="D25" s="12" t="n">
        <x:v>0.4</x:v>
      </x:c>
      <x:c r="E25" s="12" t="n">
        <x:v>0.3</x:v>
      </x:c>
      <x:c r="F25" s="12" t="n">
        <x:v>0.2</x:v>
      </x:c>
      <x:c r="G25" s="12" t="n">
        <x:v>0.29</x:v>
      </x:c>
    </x:row>
    <x:row r="26">
      <x:c r="A26" t="n">
        <x:v>2</x:v>
      </x:c>
      <x:c r="B26" t="n">
        <x:v>1</x:v>
      </x:c>
      <x:c r="C26" s="12" t="n">
        <x:v>0.39</x:v>
      </x:c>
      <x:c r="D26" s="12" t="n">
        <x:v>0.43</x:v>
      </x:c>
      <x:c r="E26" s="12" t="n">
        <x:v>0.32</x:v>
      </x:c>
      <x:c r="F26" s="12" t="n">
        <x:v>0.21</x:v>
      </x:c>
      <x:c r="G26" s="12" t="n">
        <x:v>0.26</x:v>
      </x:c>
    </x:row>
    <x:row r="27">
      <x:c r="A27" t="n">
        <x:v>2</x:v>
      </x:c>
      <x:c r="B27" t="n">
        <x:v>2</x:v>
      </x:c>
      <x:c r="C27" s="12" t="n">
        <x:v>0.43</x:v>
      </x:c>
      <x:c r="D27" s="12" t="n">
        <x:v>0.48</x:v>
      </x:c>
      <x:c r="E27" s="12" t="n">
        <x:v>0.36</x:v>
      </x:c>
      <x:c r="F27" s="12" t="n">
        <x:v>0.24</x:v>
      </x:c>
      <x:c r="G27" s="12" t="n">
        <x:v>0.3</x:v>
      </x:c>
    </x:row>
    <x:row r="28">
      <x:c r="A28" t="n">
        <x:v>2</x:v>
      </x:c>
      <x:c r="B28" t="n">
        <x:v>3</x:v>
      </x:c>
      <x:c r="C28" s="12" t="n">
        <x:v>0.47</x:v>
      </x:c>
      <x:c r="D28" s="12" t="n">
        <x:v>0.53</x:v>
      </x:c>
      <x:c r="E28" s="12" t="n">
        <x:v>0.28</x:v>
      </x:c>
      <x:c r="F28" s="12" t="n">
        <x:v>0.27</x:v>
      </x:c>
      <x:c r="G28" s="12" t="n">
        <x:v>0.34</x:v>
      </x:c>
    </x:row>
    <x:row r="29">
      <x:c r="A29" t="n">
        <x:v>2</x:v>
      </x:c>
      <x:c r="B29" t="n">
        <x:v>4</x:v>
      </x:c>
      <x:c r="C29" s="12" t="n">
        <x:v>0.51</x:v>
      </x:c>
      <x:c r="D29" s="12" t="n">
        <x:v>0.38</x:v>
      </x:c>
      <x:c r="E29" s="12" t="n">
        <x:v>0.32</x:v>
      </x:c>
      <x:c r="F29" s="12" t="n">
        <x:v>0.18</x:v>
      </x:c>
      <x:c r="G29" s="12" t="n">
        <x:v>0.38</x:v>
      </x:c>
    </x:row>
    <x:row r="30">
      <x:c r="A30" t="n">
        <x:v>2</x:v>
      </x:c>
      <x:c r="B30" t="n">
        <x:v>5</x:v>
      </x:c>
      <x:c r="C30" s="12" t="n">
        <x:v>0.35</x:v>
      </x:c>
      <x:c r="D30" s="12" t="n">
        <x:v>0.43</x:v>
      </x:c>
      <x:c r="E30" s="12" t="n">
        <x:v>0.36</x:v>
      </x:c>
      <x:c r="F30" s="12" t="n">
        <x:v>0.21</x:v>
      </x:c>
      <x:c r="G30" s="12" t="n">
        <x:v>0.22</x:v>
      </x:c>
    </x:row>
    <x:row r="31">
      <x:c r="A31" t="n">
        <x:v>2</x:v>
      </x:c>
      <x:c r="B31" t="n">
        <x:v>6</x:v>
      </x:c>
      <x:c r="C31" s="12" t="n">
        <x:v>0.39</x:v>
      </x:c>
      <x:c r="D31" s="12" t="n">
        <x:v>0.48</x:v>
      </x:c>
      <x:c r="E31" s="12" t="n">
        <x:v>0.28</x:v>
      </x:c>
      <x:c r="F31" s="12" t="n">
        <x:v>0.24</x:v>
      </x:c>
      <x:c r="G31" s="12" t="n">
        <x:v>0.26</x:v>
      </x:c>
    </x:row>
    <x:row r="32">
      <x:c r="A32" t="n">
        <x:v>2</x:v>
      </x:c>
      <x:c r="B32" t="n">
        <x:v>7</x:v>
      </x:c>
      <x:c r="C32" s="12" t="n">
        <x:v>0.43</x:v>
      </x:c>
      <x:c r="D32" s="12" t="n">
        <x:v>0.53</x:v>
      </x:c>
      <x:c r="E32" s="12" t="n">
        <x:v>0.32</x:v>
      </x:c>
      <x:c r="F32" s="12" t="n">
        <x:v>0.27</x:v>
      </x:c>
      <x:c r="G32" s="12" t="n">
        <x:v>0.3</x:v>
      </x:c>
    </x:row>
    <x:row r="33">
      <x:c r="A33" t="n">
        <x:v>2</x:v>
      </x:c>
      <x:c r="B33" t="n">
        <x:v>8</x:v>
      </x:c>
      <x:c r="C33" s="12" t="n">
        <x:v>0.47</x:v>
      </x:c>
      <x:c r="D33" s="12" t="n">
        <x:v>0.38</x:v>
      </x:c>
      <x:c r="E33" s="12" t="n">
        <x:v>0.36</x:v>
      </x:c>
      <x:c r="F33" s="12" t="n">
        <x:v>0.18</x:v>
      </x:c>
      <x:c r="G33" s="12" t="n">
        <x:v>0.34</x:v>
      </x:c>
    </x:row>
    <x:row r="34">
      <x:c r="A34" t="n">
        <x:v>2</x:v>
      </x:c>
      <x:c r="B34" t="n">
        <x:v>9</x:v>
      </x:c>
      <x:c r="C34" s="12" t="n">
        <x:v>0.51</x:v>
      </x:c>
      <x:c r="D34" s="12" t="n">
        <x:v>0.43</x:v>
      </x:c>
      <x:c r="E34" s="12" t="n">
        <x:v>0.28</x:v>
      </x:c>
      <x:c r="F34" s="12" t="n">
        <x:v>0.21</x:v>
      </x:c>
      <x:c r="G34" s="12" t="n">
        <x:v>0.38</x:v>
      </x:c>
    </x:row>
    <x:row r="35">
      <x:c r="A35" t="n">
        <x:v>2</x:v>
      </x:c>
      <x:c r="B35" t="n">
        <x:v>10</x:v>
      </x:c>
      <x:c r="C35" s="12" t="n">
        <x:v>0.35</x:v>
      </x:c>
      <x:c r="D35" s="12" t="n">
        <x:v>0.48</x:v>
      </x:c>
      <x:c r="E35" s="12" t="n">
        <x:v>0.32</x:v>
      </x:c>
      <x:c r="F35" s="12" t="n">
        <x:v>0.24</x:v>
      </x:c>
      <x:c r="G35" s="12" t="n">
        <x:v>0.22</x:v>
      </x:c>
    </x:row>
    <x:row r="36">
      <x:c r="A36" t="n">
        <x:v>2</x:v>
      </x:c>
      <x:c r="B36" t="n">
        <x:v>11</x:v>
      </x:c>
      <x:c r="C36" s="12" t="n">
        <x:v>0.39</x:v>
      </x:c>
      <x:c r="D36" s="12" t="n">
        <x:v>0.53</x:v>
      </x:c>
      <x:c r="E36" s="12" t="n">
        <x:v>0.36</x:v>
      </x:c>
      <x:c r="F36" s="12" t="n">
        <x:v>0.27</x:v>
      </x:c>
      <x:c r="G36" s="12" t="n">
        <x:v>0.26</x:v>
      </x:c>
    </x:row>
    <x:row r="37">
      <x:c r="A37" t="n">
        <x:v>2</x:v>
      </x:c>
      <x:c r="B37" t="n">
        <x:v>12</x:v>
      </x:c>
      <x:c r="C37" s="12" t="n">
        <x:v>0.43</x:v>
      </x:c>
      <x:c r="D37" s="12" t="n">
        <x:v>0.38</x:v>
      </x:c>
      <x:c r="E37" s="12" t="n">
        <x:v>0.28</x:v>
      </x:c>
      <x:c r="F37" s="12" t="n">
        <x:v>0.18</x:v>
      </x:c>
      <x:c r="G37" s="12" t="n">
        <x:v>0.3</x:v>
      </x:c>
    </x:row>
    <x:row r="38">
      <x:c r="A38" t="n">
        <x:v>2</x:v>
      </x:c>
      <x:c r="B38" t="n">
        <x:v>13</x:v>
      </x:c>
      <x:c r="C38" s="12" t="n">
        <x:v>0.47</x:v>
      </x:c>
      <x:c r="D38" s="12" t="n">
        <x:v>0.43</x:v>
      </x:c>
      <x:c r="E38" s="12" t="n">
        <x:v>0.32</x:v>
      </x:c>
      <x:c r="F38" s="12" t="n">
        <x:v>0.21</x:v>
      </x:c>
      <x:c r="G38" s="12" t="n">
        <x:v>0.34</x:v>
      </x:c>
    </x:row>
    <x:row r="39">
      <x:c r="A39" t="n">
        <x:v>2</x:v>
      </x:c>
      <x:c r="B39" t="n">
        <x:v>14</x:v>
      </x:c>
      <x:c r="C39" s="12" t="n">
        <x:v>0.51</x:v>
      </x:c>
      <x:c r="D39" s="12" t="n">
        <x:v>0.48</x:v>
      </x:c>
      <x:c r="E39" s="12" t="n">
        <x:v>0.36</x:v>
      </x:c>
      <x:c r="F39" s="12" t="n">
        <x:v>0.24</x:v>
      </x:c>
      <x:c r="G39" s="12" t="n">
        <x:v>0.38</x:v>
      </x:c>
    </x:row>
    <x:row r="40">
      <x:c r="A40" t="n">
        <x:v>2</x:v>
      </x:c>
      <x:c r="B40" t="n">
        <x:v>15</x:v>
      </x:c>
      <x:c r="C40" s="12" t="n">
        <x:v>0.35</x:v>
      </x:c>
      <x:c r="D40" s="12" t="n">
        <x:v>0.53</x:v>
      </x:c>
      <x:c r="E40" s="12" t="n">
        <x:v>0.28</x:v>
      </x:c>
      <x:c r="F40" s="12" t="n">
        <x:v>0.27</x:v>
      </x:c>
      <x:c r="G40" s="12" t="n">
        <x:v>0.22</x:v>
      </x:c>
    </x:row>
    <x:row r="41">
      <x:c r="A41" t="n">
        <x:v>2</x:v>
      </x:c>
      <x:c r="B41" t="n">
        <x:v>16</x:v>
      </x:c>
      <x:c r="C41" s="12" t="n">
        <x:v>0.39</x:v>
      </x:c>
      <x:c r="D41" s="12" t="n">
        <x:v>0.38</x:v>
      </x:c>
      <x:c r="E41" s="12" t="n">
        <x:v>0.32</x:v>
      </x:c>
      <x:c r="F41" s="12" t="n">
        <x:v>0.18</x:v>
      </x:c>
      <x:c r="G41" s="12" t="n">
        <x:v>0.26</x:v>
      </x:c>
    </x:row>
    <x:row r="42">
      <x:c r="A42" t="n">
        <x:v>2</x:v>
      </x:c>
      <x:c r="B42" t="n">
        <x:v>17</x:v>
      </x:c>
      <x:c r="C42" s="12" t="n">
        <x:v>0.43</x:v>
      </x:c>
      <x:c r="D42" s="12" t="n">
        <x:v>0.43</x:v>
      </x:c>
      <x:c r="E42" s="12" t="n">
        <x:v>0.36</x:v>
      </x:c>
      <x:c r="F42" s="12" t="n">
        <x:v>0.21</x:v>
      </x:c>
      <x:c r="G42" s="12" t="n">
        <x:v>0.3</x:v>
      </x:c>
    </x:row>
    <x:row r="43">
      <x:c r="A43" t="n">
        <x:v>2</x:v>
      </x:c>
      <x:c r="B43" t="n">
        <x:v>18</x:v>
      </x:c>
      <x:c r="C43" s="12" t="n">
        <x:v>0.47</x:v>
      </x:c>
      <x:c r="D43" s="12" t="n">
        <x:v>0.48</x:v>
      </x:c>
      <x:c r="E43" s="12" t="n">
        <x:v>0.28</x:v>
      </x:c>
      <x:c r="F43" s="12" t="n">
        <x:v>0.24</x:v>
      </x:c>
      <x:c r="G43" s="12" t="n">
        <x:v>0.34</x:v>
      </x:c>
    </x:row>
    <x:row r="44">
      <x:c r="A44" t="n">
        <x:v>2</x:v>
      </x:c>
      <x:c r="B44" t="n">
        <x:v>19</x:v>
      </x:c>
      <x:c r="C44" s="12" t="n">
        <x:v>0.51</x:v>
      </x:c>
      <x:c r="D44" s="12" t="n">
        <x:v>0.53</x:v>
      </x:c>
      <x:c r="E44" s="12" t="n">
        <x:v>0.32</x:v>
      </x:c>
      <x:c r="F44" s="12" t="n">
        <x:v>0.27</x:v>
      </x:c>
      <x:c r="G44" s="12" t="n">
        <x:v>0.38</x:v>
      </x:c>
    </x:row>
    <x:row r="45">
      <x:c r="A45" t="n">
        <x:v>2</x:v>
      </x:c>
      <x:c r="B45" t="n">
        <x:v>20</x:v>
      </x:c>
      <x:c r="C45" s="12" t="n">
        <x:v>0.35</x:v>
      </x:c>
      <x:c r="D45" s="12" t="n">
        <x:v>0.38</x:v>
      </x:c>
      <x:c r="E45" s="12" t="n">
        <x:v>0.36</x:v>
      </x:c>
      <x:c r="F45" s="12" t="n">
        <x:v>0.18</x:v>
      </x:c>
      <x:c r="G45" s="12" t="n">
        <x:v>0.22</x:v>
      </x:c>
    </x:row>
    <x:row r="46">
      <x:c r="A46" t="n">
        <x:v>3</x:v>
      </x:c>
      <x:c r="B46" t="n">
        <x:v>1</x:v>
      </x:c>
      <x:c r="C46" s="12" t="n">
        <x:v>0.38</x:v>
      </x:c>
      <x:c r="D46" s="12" t="n">
        <x:v>0.46</x:v>
      </x:c>
      <x:c r="E46" s="12" t="n">
        <x:v>0.29</x:v>
      </x:c>
      <x:c r="F46" s="12" t="n">
        <x:v>0.22</x:v>
      </x:c>
      <x:c r="G46" s="12" t="n">
        <x:v>0.33</x:v>
      </x:c>
    </x:row>
    <x:row r="47">
      <x:c r="A47" t="n">
        <x:v>3</x:v>
      </x:c>
      <x:c r="B47" t="n">
        <x:v>2</x:v>
      </x:c>
      <x:c r="C47" s="12" t="n">
        <x:v>0.41</x:v>
      </x:c>
      <x:c r="D47" s="12" t="n">
        <x:v>0.5</x:v>
      </x:c>
      <x:c r="E47" s="12" t="n">
        <x:v>0.25</x:v>
      </x:c>
      <x:c r="F47" s="12" t="n">
        <x:v>0.24</x:v>
      </x:c>
      <x:c r="G47" s="12" t="n">
        <x:v>0.36</x:v>
      </x:c>
    </x:row>
    <x:row r="48">
      <x:c r="A48" t="n">
        <x:v>3</x:v>
      </x:c>
      <x:c r="B48" t="n">
        <x:v>3</x:v>
      </x:c>
      <x:c r="C48" s="12" t="n">
        <x:v>0.44</x:v>
      </x:c>
      <x:c r="D48" s="12" t="n">
        <x:v>0.42</x:v>
      </x:c>
      <x:c r="E48" s="12" t="n">
        <x:v>0.29</x:v>
      </x:c>
      <x:c r="F48" s="12" t="n">
        <x:v>0.26</x:v>
      </x:c>
      <x:c r="G48" s="12" t="n">
        <x:v>0.39</x:v>
      </x:c>
    </x:row>
    <x:row r="49">
      <x:c r="A49" t="n">
        <x:v>3</x:v>
      </x:c>
      <x:c r="B49" t="n">
        <x:v>4</x:v>
      </x:c>
      <x:c r="C49" s="12" t="n">
        <x:v>0.35</x:v>
      </x:c>
      <x:c r="D49" s="12" t="n">
        <x:v>0.46</x:v>
      </x:c>
      <x:c r="E49" s="12" t="n">
        <x:v>0.25</x:v>
      </x:c>
      <x:c r="F49" s="12" t="n">
        <x:v>0.28</x:v>
      </x:c>
      <x:c r="G49" s="12" t="n">
        <x:v>0.3</x:v>
      </x:c>
    </x:row>
    <x:row r="50">
      <x:c r="A50" t="n">
        <x:v>3</x:v>
      </x:c>
      <x:c r="B50" t="n">
        <x:v>5</x:v>
      </x:c>
      <x:c r="C50" s="12" t="n">
        <x:v>0.38</x:v>
      </x:c>
      <x:c r="D50" s="12" t="n">
        <x:v>0.5</x:v>
      </x:c>
      <x:c r="E50" s="12" t="n">
        <x:v>0.29</x:v>
      </x:c>
      <x:c r="F50" s="12" t="n">
        <x:v>0.2</x:v>
      </x:c>
      <x:c r="G50" s="12" t="n">
        <x:v>0.33</x:v>
      </x:c>
    </x:row>
    <x:row r="51">
      <x:c r="A51" t="n">
        <x:v>3</x:v>
      </x:c>
      <x:c r="B51" t="n">
        <x:v>6</x:v>
      </x:c>
      <x:c r="C51" s="12" t="n">
        <x:v>0.41</x:v>
      </x:c>
      <x:c r="D51" s="12" t="n">
        <x:v>0.42</x:v>
      </x:c>
      <x:c r="E51" s="12" t="n">
        <x:v>0.25</x:v>
      </x:c>
      <x:c r="F51" s="12" t="n">
        <x:v>0.22</x:v>
      </x:c>
      <x:c r="G51" s="12" t="n">
        <x:v>0.36</x:v>
      </x:c>
    </x:row>
    <x:row r="52">
      <x:c r="A52" t="n">
        <x:v>3</x:v>
      </x:c>
      <x:c r="B52" t="n">
        <x:v>7</x:v>
      </x:c>
      <x:c r="C52" s="12" t="n">
        <x:v>0.44</x:v>
      </x:c>
      <x:c r="D52" s="12" t="n">
        <x:v>0.46</x:v>
      </x:c>
      <x:c r="E52" s="12" t="n">
        <x:v>0.29</x:v>
      </x:c>
      <x:c r="F52" s="12" t="n">
        <x:v>0.24</x:v>
      </x:c>
      <x:c r="G52" s="12" t="n">
        <x:v>0.39</x:v>
      </x:c>
    </x:row>
    <x:row r="53">
      <x:c r="A53" t="n">
        <x:v>3</x:v>
      </x:c>
      <x:c r="B53" t="n">
        <x:v>8</x:v>
      </x:c>
      <x:c r="C53" s="12" t="n">
        <x:v>1</x:v>
      </x:c>
      <x:c r="D53" s="12" t="n">
        <x:v>0.5</x:v>
      </x:c>
      <x:c r="E53" s="12" t="n">
        <x:v>0.25</x:v>
      </x:c>
      <x:c r="F53" s="12" t="n">
        <x:v>0.26</x:v>
      </x:c>
      <x:c r="G53" s="12" t="n">
        <x:v>0.3</x:v>
      </x:c>
    </x:row>
    <x:row r="54">
      <x:c r="A54" t="n">
        <x:v>3</x:v>
      </x:c>
      <x:c r="B54" t="n">
        <x:v>9</x:v>
      </x:c>
      <x:c r="C54" s="12" t="n">
        <x:v>0.42</x:v>
      </x:c>
      <x:c r="D54" s="12" t="n">
        <x:v>0.42</x:v>
      </x:c>
      <x:c r="E54" s="12" t="n">
        <x:v>0.29</x:v>
      </x:c>
      <x:c r="F54" s="12" t="n">
        <x:v>0.28</x:v>
      </x:c>
      <x:c r="G54" s="12" t="n">
        <x:v>0.33</x:v>
      </x:c>
    </x:row>
    <x:row r="55">
      <x:c r="A55" t="n">
        <x:v>3</x:v>
      </x:c>
      <x:c r="B55" t="n">
        <x:v>10</x:v>
      </x:c>
      <x:c r="C55" s="12" t="n">
        <x:v>0.41</x:v>
      </x:c>
      <x:c r="D55" s="12" t="n">
        <x:v>0.46</x:v>
      </x:c>
      <x:c r="E55" s="12" t="n">
        <x:v>0.25</x:v>
      </x:c>
      <x:c r="F55" s="12" t="n">
        <x:v>0.2</x:v>
      </x:c>
      <x:c r="G55" s="12" t="n">
        <x:v>0.36</x:v>
      </x:c>
    </x:row>
    <x:row r="56">
      <x:c r="A56" t="n">
        <x:v>3</x:v>
      </x:c>
      <x:c r="B56" t="n">
        <x:v>11</x:v>
      </x:c>
      <x:c r="C56" s="12" t="n">
        <x:v>0.44</x:v>
      </x:c>
      <x:c r="D56" s="12" t="n">
        <x:v>0.5</x:v>
      </x:c>
      <x:c r="E56" s="12" t="n">
        <x:v>0.29</x:v>
      </x:c>
      <x:c r="F56" s="12" t="n">
        <x:v>0.22</x:v>
      </x:c>
      <x:c r="G56" s="12" t="n">
        <x:v>0.39</x:v>
      </x:c>
    </x:row>
    <x:row r="57">
      <x:c r="A57" t="n">
        <x:v>3</x:v>
      </x:c>
      <x:c r="B57" t="n">
        <x:v>12</x:v>
      </x:c>
      <x:c r="C57" s="12" t="n">
        <x:v>0.35</x:v>
      </x:c>
      <x:c r="D57" s="12" t="n">
        <x:v>0.42</x:v>
      </x:c>
      <x:c r="E57" s="12" t="n">
        <x:v>0.25</x:v>
      </x:c>
      <x:c r="F57" s="12" t="n">
        <x:v>0.24</x:v>
      </x:c>
      <x:c r="G57" s="12" t="n">
        <x:v>0.3</x:v>
      </x:c>
    </x:row>
    <x:row r="58">
      <x:c r="A58" t="n">
        <x:v>3</x:v>
      </x:c>
      <x:c r="B58" t="n">
        <x:v>13</x:v>
      </x:c>
      <x:c r="C58" s="12" t="n">
        <x:v>0.38</x:v>
      </x:c>
      <x:c r="D58" s="12" t="n">
        <x:v>0.46</x:v>
      </x:c>
      <x:c r="E58" s="12" t="n">
        <x:v>0.29</x:v>
      </x:c>
      <x:c r="F58" s="12" t="n">
        <x:v>0.26</x:v>
      </x:c>
      <x:c r="G58" s="12" t="n">
        <x:v>0.33</x:v>
      </x:c>
    </x:row>
    <x:row r="59">
      <x:c r="A59" t="n">
        <x:v>3</x:v>
      </x:c>
      <x:c r="B59" t="n">
        <x:v>14</x:v>
      </x:c>
      <x:c r="C59" s="12" t="n">
        <x:v>0.41</x:v>
      </x:c>
      <x:c r="D59" s="12" t="n">
        <x:v>0.5</x:v>
      </x:c>
      <x:c r="E59" s="12" t="n">
        <x:v>0.25</x:v>
      </x:c>
      <x:c r="F59" s="12" t="n">
        <x:v>0.28</x:v>
      </x:c>
      <x:c r="G59" s="12" t="n">
        <x:v>0.36</x:v>
      </x:c>
    </x:row>
    <x:row r="60">
      <x:c r="A60" t="n">
        <x:v>3</x:v>
      </x:c>
      <x:c r="B60" t="n">
        <x:v>15</x:v>
      </x:c>
      <x:c r="C60" s="12" t="n">
        <x:v>0.44</x:v>
      </x:c>
      <x:c r="D60" s="12" t="n">
        <x:v>0.42</x:v>
      </x:c>
      <x:c r="E60" s="12" t="n">
        <x:v>0.29</x:v>
      </x:c>
      <x:c r="F60" s="12" t="n">
        <x:v>0.2</x:v>
      </x:c>
      <x:c r="G60" s="12" t="n">
        <x:v>0.39</x:v>
      </x:c>
    </x:row>
    <x:row r="61">
      <x:c r="A61" t="n">
        <x:v>3</x:v>
      </x:c>
      <x:c r="B61" t="n">
        <x:v>16</x:v>
      </x:c>
      <x:c r="C61" s="12" t="n">
        <x:v>0.35</x:v>
      </x:c>
      <x:c r="D61" s="12" t="n">
        <x:v>0.46</x:v>
      </x:c>
      <x:c r="E61" s="12" t="n">
        <x:v>0.25</x:v>
      </x:c>
      <x:c r="F61" s="12" t="n">
        <x:v>0.22</x:v>
      </x:c>
      <x:c r="G61" s="12" t="n">
        <x:v>0.3</x:v>
      </x:c>
    </x:row>
    <x:row r="62">
      <x:c r="A62" t="n">
        <x:v>3</x:v>
      </x:c>
      <x:c r="B62" t="n">
        <x:v>17</x:v>
      </x:c>
      <x:c r="C62" s="12" t="n">
        <x:v>0.38</x:v>
      </x:c>
      <x:c r="D62" s="12" t="n">
        <x:v>0.5</x:v>
      </x:c>
      <x:c r="E62" s="12" t="n">
        <x:v>0.29</x:v>
      </x:c>
      <x:c r="F62" s="12" t="n">
        <x:v>0.24</x:v>
      </x:c>
      <x:c r="G62" s="12" t="n">
        <x:v>0.33</x:v>
      </x:c>
    </x:row>
    <x:row r="63">
      <x:c r="A63" t="n">
        <x:v>3</x:v>
      </x:c>
      <x:c r="B63" t="n">
        <x:v>18</x:v>
      </x:c>
      <x:c r="C63" s="12" t="n">
        <x:v>0.41</x:v>
      </x:c>
      <x:c r="D63" s="12" t="n">
        <x:v>0.42</x:v>
      </x:c>
      <x:c r="E63" s="12" t="n">
        <x:v>0.25</x:v>
      </x:c>
      <x:c r="F63" s="12" t="n">
        <x:v>0.26</x:v>
      </x:c>
      <x:c r="G63" s="12" t="n">
        <x:v>0.36</x:v>
      </x:c>
    </x:row>
    <x:row r="64">
      <x:c r="A64" t="n">
        <x:v>3</x:v>
      </x:c>
      <x:c r="B64" t="n">
        <x:v>19</x:v>
      </x:c>
      <x:c r="C64" s="12" t="n">
        <x:v>0.44</x:v>
      </x:c>
      <x:c r="D64" s="12" t="n">
        <x:v>0.46</x:v>
      </x:c>
      <x:c r="E64" s="12" t="n">
        <x:v>0.29</x:v>
      </x:c>
      <x:c r="F64" s="12" t="n">
        <x:v>0.28</x:v>
      </x:c>
      <x:c r="G64" s="12" t="n">
        <x:v>0.39</x:v>
      </x:c>
    </x:row>
    <x:row r="65">
      <x:c r="A65" t="n">
        <x:v>3</x:v>
      </x:c>
      <x:c r="B65" t="n">
        <x:v>20</x:v>
      </x:c>
      <x:c r="C65" s="12" t="n">
        <x:v>0.35</x:v>
      </x:c>
      <x:c r="D65" s="12" t="n">
        <x:v>0.5</x:v>
      </x:c>
      <x:c r="E65" s="12" t="n">
        <x:v>0.25</x:v>
      </x:c>
      <x:c r="F65" s="12" t="n">
        <x:v>0.2</x:v>
      </x:c>
      <x:c r="G65" s="12" t="n">
        <x:v>0.3</x:v>
      </x:c>
    </x:row>
    <x:row r="66">
      <x:c r="A66" t="n">
        <x:v>4</x:v>
      </x:c>
      <x:c r="B66" t="n">
        <x:v>1</x:v>
      </x:c>
      <x:c r="C66" s="12" t="n">
        <x:v>0.44</x:v>
      </x:c>
      <x:c r="D66" s="12" t="n">
        <x:v>0.39</x:v>
      </x:c>
      <x:c r="E66" s="12" t="n">
        <x:v>0.15</x:v>
      </x:c>
      <x:c r="F66" s="12" t="n">
        <x:v>0.24</x:v>
      </x:c>
      <x:c r="G66" s="12" t="n">
        <x:v>0.3</x:v>
      </x:c>
    </x:row>
    <x:row r="67">
      <x:c r="A67" t="n">
        <x:v>4</x:v>
      </x:c>
      <x:c r="B67" t="n">
        <x:v>2</x:v>
      </x:c>
      <x:c r="C67" s="12" t="n">
        <x:v>0.48</x:v>
      </x:c>
      <x:c r="D67" s="12" t="n">
        <x:v>0.43</x:v>
      </x:c>
      <x:c r="E67" s="12" t="n">
        <x:v>0.2</x:v>
      </x:c>
      <x:c r="F67" s="12" t="n">
        <x:v>0.26</x:v>
      </x:c>
      <x:c r="G67" s="12" t="n">
        <x:v>0.32</x:v>
      </x:c>
    </x:row>
    <x:row r="68">
      <x:c r="A68" t="n">
        <x:v>4</x:v>
      </x:c>
      <x:c r="B68" t="n">
        <x:v>3</x:v>
      </x:c>
      <x:c r="C68" s="12" t="n">
        <x:v>0.4</x:v>
      </x:c>
      <x:c r="D68" s="12" t="n">
        <x:v>0.47</x:v>
      </x:c>
      <x:c r="E68" s="12" t="n">
        <x:v>0.1</x:v>
      </x:c>
      <x:c r="F68" s="12" t="n">
        <x:v>0.28</x:v>
      </x:c>
      <x:c r="G68" s="12" t="n">
        <x:v>0.34</x:v>
      </x:c>
    </x:row>
    <x:row r="69">
      <x:c r="A69" t="n">
        <x:v>4</x:v>
      </x:c>
      <x:c r="B69" t="n">
        <x:v>4</x:v>
      </x:c>
      <x:c r="C69" s="12" t="n">
        <x:v>0.44</x:v>
      </x:c>
      <x:c r="D69" s="12" t="n">
        <x:v>0.35</x:v>
      </x:c>
      <x:c r="E69" s="12" t="n">
        <x:v>0.15</x:v>
      </x:c>
      <x:c r="F69" s="12" t="n">
        <x:v>0.22</x:v>
      </x:c>
      <x:c r="G69" s="12" t="n">
        <x:v>0.36</x:v>
      </x:c>
    </x:row>
    <x:row r="70">
      <x:c r="A70" t="n">
        <x:v>4</x:v>
      </x:c>
      <x:c r="B70" t="n">
        <x:v>5</x:v>
      </x:c>
      <x:c r="C70" s="12" t="n">
        <x:v>0.48</x:v>
      </x:c>
      <x:c r="D70" s="12" t="n">
        <x:v>0.39</x:v>
      </x:c>
      <x:c r="E70" s="12" t="n">
        <x:v>0.2</x:v>
      </x:c>
      <x:c r="F70" s="12" t="n">
        <x:v>0.24</x:v>
      </x:c>
      <x:c r="G70" s="12" t="n">
        <x:v>0.28</x:v>
      </x:c>
    </x:row>
    <x:row r="71">
      <x:c r="A71" t="n">
        <x:v>4</x:v>
      </x:c>
      <x:c r="B71" t="n">
        <x:v>6</x:v>
      </x:c>
      <x:c r="C71" s="12" t="n">
        <x:v>0.4</x:v>
      </x:c>
      <x:c r="D71" s="12" t="n">
        <x:v>0.43</x:v>
      </x:c>
      <x:c r="E71" s="12" t="n">
        <x:v>0.7</x:v>
      </x:c>
      <x:c r="F71" s="12" t="n">
        <x:v>0.26</x:v>
      </x:c>
      <x:c r="G71" s="12" t="n">
        <x:v>0.3</x:v>
      </x:c>
    </x:row>
    <x:row r="72">
      <x:c r="A72" t="n">
        <x:v>4</x:v>
      </x:c>
      <x:c r="B72" t="n">
        <x:v>7</x:v>
      </x:c>
      <x:c r="C72" s="12" t="n">
        <x:v>0.44</x:v>
      </x:c>
      <x:c r="D72" s="12" t="n">
        <x:v>0.47</x:v>
      </x:c>
      <x:c r="E72" s="12" t="n">
        <x:v>1</x:v>
      </x:c>
      <x:c r="F72" s="12" t="n">
        <x:v>0.28</x:v>
      </x:c>
      <x:c r="G72" s="12" t="n">
        <x:v>0.32</x:v>
      </x:c>
    </x:row>
    <x:row r="73">
      <x:c r="A73" t="n">
        <x:v>4</x:v>
      </x:c>
      <x:c r="B73" t="n">
        <x:v>8</x:v>
      </x:c>
      <x:c r="C73" s="12" t="n">
        <x:v>0.48</x:v>
      </x:c>
      <x:c r="D73" s="12" t="n">
        <x:v>0.35</x:v>
      </x:c>
      <x:c r="E73" s="12" t="n">
        <x:v>0.25</x:v>
      </x:c>
      <x:c r="F73" s="12" t="n">
        <x:v>0.22</x:v>
      </x:c>
      <x:c r="G73" s="12" t="n">
        <x:v>0.34</x:v>
      </x:c>
    </x:row>
    <x:row r="74">
      <x:c r="A74" t="n">
        <x:v>4</x:v>
      </x:c>
      <x:c r="B74" t="n">
        <x:v>9</x:v>
      </x:c>
      <x:c r="C74" s="12" t="n">
        <x:v>0.4</x:v>
      </x:c>
      <x:c r="D74" s="12" t="n">
        <x:v>0.39</x:v>
      </x:c>
      <x:c r="E74" s="12" t="n">
        <x:v>0.1</x:v>
      </x:c>
      <x:c r="F74" s="12" t="n">
        <x:v>0.24</x:v>
      </x:c>
      <x:c r="G74" s="12" t="n">
        <x:v>0.36</x:v>
      </x:c>
    </x:row>
    <x:row r="75">
      <x:c r="A75" t="n">
        <x:v>4</x:v>
      </x:c>
      <x:c r="B75" t="n">
        <x:v>10</x:v>
      </x:c>
      <x:c r="C75" s="12" t="n">
        <x:v>0.44</x:v>
      </x:c>
      <x:c r="D75" s="12" t="n">
        <x:v>0.43</x:v>
      </x:c>
      <x:c r="E75" s="12" t="n">
        <x:v>0.15</x:v>
      </x:c>
      <x:c r="F75" s="12" t="n">
        <x:v>0.26</x:v>
      </x:c>
      <x:c r="G75" s="12" t="n">
        <x:v>0.28</x:v>
      </x:c>
    </x:row>
    <x:row r="76">
      <x:c r="A76" t="n">
        <x:v>4</x:v>
      </x:c>
      <x:c r="B76" t="n">
        <x:v>11</x:v>
      </x:c>
      <x:c r="C76" s="12" t="n">
        <x:v>0.48</x:v>
      </x:c>
      <x:c r="D76" s="12" t="n">
        <x:v>0.47</x:v>
      </x:c>
      <x:c r="E76" s="12" t="n">
        <x:v>0.2</x:v>
      </x:c>
      <x:c r="F76" s="12" t="n">
        <x:v>0.28</x:v>
      </x:c>
      <x:c r="G76" s="12" t="n">
        <x:v>0.3</x:v>
      </x:c>
    </x:row>
    <x:row r="77">
      <x:c r="A77" t="n">
        <x:v>4</x:v>
      </x:c>
      <x:c r="B77" t="n">
        <x:v>12</x:v>
      </x:c>
      <x:c r="C77" s="12" t="n">
        <x:v>0.4</x:v>
      </x:c>
      <x:c r="D77" s="12" t="n">
        <x:v>0.35</x:v>
      </x:c>
      <x:c r="E77" s="12" t="n">
        <x:v>0.1</x:v>
      </x:c>
      <x:c r="F77" s="12" t="n">
        <x:v>0.22</x:v>
      </x:c>
      <x:c r="G77" s="12" t="n">
        <x:v>0.32</x:v>
      </x:c>
    </x:row>
    <x:row r="78">
      <x:c r="A78" t="n">
        <x:v>4</x:v>
      </x:c>
      <x:c r="B78" t="n">
        <x:v>13</x:v>
      </x:c>
      <x:c r="C78" s="12" t="n">
        <x:v>0.44</x:v>
      </x:c>
      <x:c r="D78" s="12" t="n">
        <x:v>0.39</x:v>
      </x:c>
      <x:c r="E78" s="12" t="n">
        <x:v>0.15</x:v>
      </x:c>
      <x:c r="F78" s="12" t="n">
        <x:v>0.24</x:v>
      </x:c>
      <x:c r="G78" s="12" t="n">
        <x:v>0.34</x:v>
      </x:c>
    </x:row>
    <x:row r="79">
      <x:c r="A79" t="n">
        <x:v>4</x:v>
      </x:c>
      <x:c r="B79" t="n">
        <x:v>14</x:v>
      </x:c>
      <x:c r="C79" s="12" t="n">
        <x:v>0.48</x:v>
      </x:c>
      <x:c r="D79" s="12" t="n">
        <x:v>0.43</x:v>
      </x:c>
      <x:c r="E79" s="12" t="n">
        <x:v>0.2</x:v>
      </x:c>
      <x:c r="F79" s="12" t="n">
        <x:v>0.26</x:v>
      </x:c>
      <x:c r="G79" s="12" t="n">
        <x:v>0.36</x:v>
      </x:c>
    </x:row>
    <x:row r="80">
      <x:c r="A80" t="n">
        <x:v>4</x:v>
      </x:c>
      <x:c r="B80" t="n">
        <x:v>15</x:v>
      </x:c>
      <x:c r="C80" s="12" t="n">
        <x:v>0.4</x:v>
      </x:c>
      <x:c r="D80" s="12" t="n">
        <x:v>0.47</x:v>
      </x:c>
      <x:c r="E80" s="12" t="n">
        <x:v>0.1</x:v>
      </x:c>
      <x:c r="F80" s="12" t="n">
        <x:v>0.28</x:v>
      </x:c>
      <x:c r="G80" s="12" t="n">
        <x:v>0.28</x:v>
      </x:c>
    </x:row>
    <x:row r="81">
      <x:c r="A81" t="n">
        <x:v>4</x:v>
      </x:c>
      <x:c r="B81" t="n">
        <x:v>16</x:v>
      </x:c>
      <x:c r="C81" s="12" t="n">
        <x:v>0.44</x:v>
      </x:c>
      <x:c r="D81" s="12" t="n">
        <x:v>0.35</x:v>
      </x:c>
      <x:c r="E81" s="12" t="n">
        <x:v>0.15</x:v>
      </x:c>
      <x:c r="F81" s="12" t="n">
        <x:v>0.22</x:v>
      </x:c>
      <x:c r="G81" s="12" t="n">
        <x:v>0.3</x:v>
      </x:c>
    </x:row>
    <x:row r="82">
      <x:c r="A82" t="n">
        <x:v>4</x:v>
      </x:c>
      <x:c r="B82" t="n">
        <x:v>17</x:v>
      </x:c>
      <x:c r="C82" s="12" t="n">
        <x:v>0.48</x:v>
      </x:c>
      <x:c r="D82" s="12" t="n">
        <x:v>0.39</x:v>
      </x:c>
      <x:c r="E82" s="12" t="n">
        <x:v>0.2</x:v>
      </x:c>
      <x:c r="F82" s="12" t="n">
        <x:v>0.24</x:v>
      </x:c>
      <x:c r="G82" s="12" t="n">
        <x:v>0.32</x:v>
      </x:c>
    </x:row>
    <x:row r="83">
      <x:c r="A83" t="n">
        <x:v>4</x:v>
      </x:c>
      <x:c r="B83" t="n">
        <x:v>18</x:v>
      </x:c>
      <x:c r="C83" s="12" t="n">
        <x:v>0.4</x:v>
      </x:c>
      <x:c r="D83" s="12" t="n">
        <x:v>0.43</x:v>
      </x:c>
      <x:c r="E83" s="12" t="n">
        <x:v>0.1</x:v>
      </x:c>
      <x:c r="F83" s="12" t="n">
        <x:v>0.26</x:v>
      </x:c>
      <x:c r="G83" s="12" t="n">
        <x:v>0.34</x:v>
      </x:c>
    </x:row>
    <x:row r="84">
      <x:c r="A84" t="n">
        <x:v>4</x:v>
      </x:c>
      <x:c r="B84" t="n">
        <x:v>19</x:v>
      </x:c>
      <x:c r="C84" s="12" t="n">
        <x:v>0.44</x:v>
      </x:c>
      <x:c r="D84" s="12" t="n">
        <x:v>0.47</x:v>
      </x:c>
      <x:c r="E84" s="12" t="n">
        <x:v>0.15</x:v>
      </x:c>
      <x:c r="F84" s="12" t="n">
        <x:v>0.28</x:v>
      </x:c>
      <x:c r="G84" s="12" t="n">
        <x:v>0.36</x:v>
      </x:c>
    </x:row>
    <x:row r="85">
      <x:c r="A85" t="n">
        <x:v>4</x:v>
      </x:c>
      <x:c r="B85" t="n">
        <x:v>20</x:v>
      </x:c>
      <x:c r="C85" s="12" t="n">
        <x:v>0.48</x:v>
      </x:c>
      <x:c r="D85" s="12" t="n">
        <x:v>0.35</x:v>
      </x:c>
      <x:c r="E85" s="12" t="n">
        <x:v>0.2</x:v>
      </x:c>
      <x:c r="F85" s="12" t="n">
        <x:v>0.22</x:v>
      </x:c>
      <x:c r="G85" s="12" t="n">
        <x:v>0.28</x:v>
      </x:c>
    </x:row>
    <x:row r="86">
      <x:c r="A86" t="n">
        <x:v>5</x:v>
      </x:c>
      <x:c r="B86" t="n">
        <x:v>1</x:v>
      </x:c>
      <x:c r="C86" s="12" t="n">
        <x:v>0.33</x:v>
      </x:c>
      <x:c r="D86" s="12" t="n">
        <x:v>0.35</x:v>
      </x:c>
      <x:c r="E86" s="12" t="n">
        <x:v>0.34</x:v>
      </x:c>
      <x:c r="F86" s="12" t="n">
        <x:v>0.27</x:v>
      </x:c>
      <x:c r="G86" s="12" t="n">
        <x:v>0.3</x:v>
      </x:c>
    </x:row>
    <x:row r="87">
      <x:c r="A87" t="n">
        <x:v>5</x:v>
      </x:c>
      <x:c r="B87" t="n">
        <x:v>2</x:v>
      </x:c>
      <x:c r="C87" s="12" t="n">
        <x:v>0.36</x:v>
      </x:c>
      <x:c r="D87" s="12" t="n">
        <x:v>0.38</x:v>
      </x:c>
      <x:c r="E87" s="12" t="n">
        <x:v>0.3</x:v>
      </x:c>
      <x:c r="F87" s="12" t="n">
        <x:v>0.3</x:v>
      </x:c>
      <x:c r="G87" s="12" t="n">
        <x:v>0.34</x:v>
      </x:c>
    </x:row>
    <x:row r="88">
      <x:c r="A88" t="n">
        <x:v>5</x:v>
      </x:c>
      <x:c r="B88" t="n">
        <x:v>3</x:v>
      </x:c>
      <x:c r="C88" s="12" t="n">
        <x:v>0.39</x:v>
      </x:c>
      <x:c r="D88" s="12" t="n">
        <x:v>0.41</x:v>
      </x:c>
      <x:c r="E88" s="12" t="n">
        <x:v>0.34</x:v>
      </x:c>
      <x:c r="F88" s="12" t="n">
        <x:v>0.33</x:v>
      </x:c>
      <x:c r="G88" s="12" t="n">
        <x:v>0.26</x:v>
      </x:c>
    </x:row>
    <x:row r="89">
      <x:c r="A89" t="n">
        <x:v>5</x:v>
      </x:c>
      <x:c r="B89" t="n">
        <x:v>4</x:v>
      </x:c>
      <x:c r="C89" s="12" t="n">
        <x:v>0.3</x:v>
      </x:c>
      <x:c r="D89" s="12" t="n">
        <x:v>0.44</x:v>
      </x:c>
      <x:c r="E89" s="12" t="n">
        <x:v>0.3</x:v>
      </x:c>
      <x:c r="F89" s="12" t="n">
        <x:v>0.24</x:v>
      </x:c>
      <x:c r="G89" s="12" t="n">
        <x:v>0.3</x:v>
      </x:c>
    </x:row>
    <x:row r="90">
      <x:c r="A90" t="n">
        <x:v>5</x:v>
      </x:c>
      <x:c r="B90" t="n">
        <x:v>5</x:v>
      </x:c>
      <x:c r="C90" s="12" t="n">
        <x:v>0.33</x:v>
      </x:c>
      <x:c r="D90" s="12" t="n">
        <x:v>0.32</x:v>
      </x:c>
      <x:c r="E90" s="12" t="n">
        <x:v>0.34</x:v>
      </x:c>
      <x:c r="F90" s="12" t="n">
        <x:v>0.27</x:v>
      </x:c>
      <x:c r="G90" s="12" t="n">
        <x:v>0.34</x:v>
      </x:c>
    </x:row>
    <x:row r="91">
      <x:c r="A91" t="n">
        <x:v>5</x:v>
      </x:c>
      <x:c r="B91" t="n">
        <x:v>6</x:v>
      </x:c>
      <x:c r="C91" s="12" t="n">
        <x:v>0.36</x:v>
      </x:c>
      <x:c r="D91" s="12" t="n">
        <x:v>0.35</x:v>
      </x:c>
      <x:c r="E91" s="12" t="n">
        <x:v>0.3</x:v>
      </x:c>
      <x:c r="F91" s="12" t="n">
        <x:v>0.3</x:v>
      </x:c>
      <x:c r="G91" s="12" t="n">
        <x:v>0.26</x:v>
      </x:c>
    </x:row>
    <x:row r="92">
      <x:c r="A92" t="n">
        <x:v>5</x:v>
      </x:c>
      <x:c r="B92" t="n">
        <x:v>7</x:v>
      </x:c>
      <x:c r="C92" s="12" t="n">
        <x:v>0.39</x:v>
      </x:c>
      <x:c r="D92" s="12" t="n">
        <x:v>0.38</x:v>
      </x:c>
      <x:c r="E92" s="12" t="n">
        <x:v>0.34</x:v>
      </x:c>
      <x:c r="F92" s="12" t="n">
        <x:v>0.33</x:v>
      </x:c>
      <x:c r="G92" s="12" t="n">
        <x:v>0.3</x:v>
      </x:c>
    </x:row>
    <x:row r="93">
      <x:c r="A93" t="n">
        <x:v>5</x:v>
      </x:c>
      <x:c r="B93" t="n">
        <x:v>8</x:v>
      </x:c>
      <x:c r="C93" s="12" t="n">
        <x:v>0.3</x:v>
      </x:c>
      <x:c r="D93" s="12" t="n">
        <x:v>0.41</x:v>
      </x:c>
      <x:c r="E93" s="12" t="n">
        <x:v>0.3</x:v>
      </x:c>
      <x:c r="F93" s="12" t="n">
        <x:v>0.24</x:v>
      </x:c>
      <x:c r="G93" s="12" t="n">
        <x:v>0.34</x:v>
      </x:c>
    </x:row>
    <x:row r="94">
      <x:c r="A94" t="n">
        <x:v>5</x:v>
      </x:c>
      <x:c r="B94" t="n">
        <x:v>9</x:v>
      </x:c>
      <x:c r="C94" s="12" t="n">
        <x:v>0.33</x:v>
      </x:c>
      <x:c r="D94" s="12" t="n">
        <x:v>0.44</x:v>
      </x:c>
      <x:c r="E94" s="12" t="n">
        <x:v>0.34</x:v>
      </x:c>
      <x:c r="F94" s="12" t="n">
        <x:v>0.27</x:v>
      </x:c>
      <x:c r="G94" s="12" t="n">
        <x:v>0.26</x:v>
      </x:c>
    </x:row>
    <x:row r="95">
      <x:c r="A95" t="n">
        <x:v>5</x:v>
      </x:c>
      <x:c r="B95" t="n">
        <x:v>10</x:v>
      </x:c>
      <x:c r="C95" s="12" t="n">
        <x:v>0.9</x:v>
      </x:c>
      <x:c r="D95" s="12" t="n">
        <x:v>0.88</x:v>
      </x:c>
      <x:c r="E95" s="12" t="n">
        <x:v>0.3</x:v>
      </x:c>
      <x:c r="F95" s="12" t="n">
        <x:v>0.3</x:v>
      </x:c>
      <x:c r="G95" s="12" t="n">
        <x:v>0.3</x:v>
      </x:c>
    </x:row>
    <x:row r="96">
      <x:c r="A96" t="n">
        <x:v>5</x:v>
      </x:c>
      <x:c r="B96" t="n">
        <x:v>11</x:v>
      </x:c>
      <x:c r="C96" s="12" t="n">
        <x:v>0.35</x:v>
      </x:c>
      <x:c r="D96" s="12" t="n">
        <x:v>0.36</x:v>
      </x:c>
      <x:c r="E96" s="12" t="n">
        <x:v>0.34</x:v>
      </x:c>
      <x:c r="F96" s="12" t="n">
        <x:v>0.33</x:v>
      </x:c>
      <x:c r="G96" s="12" t="n">
        <x:v>0.34</x:v>
      </x:c>
    </x:row>
    <x:row r="97">
      <x:c r="A97" t="n">
        <x:v>5</x:v>
      </x:c>
      <x:c r="B97" t="n">
        <x:v>12</x:v>
      </x:c>
      <x:c r="C97" s="12" t="n">
        <x:v>0.3</x:v>
      </x:c>
      <x:c r="D97" s="12" t="n">
        <x:v>0.38</x:v>
      </x:c>
      <x:c r="E97" s="12" t="n">
        <x:v>0.3</x:v>
      </x:c>
      <x:c r="F97" s="12" t="n">
        <x:v>0.24</x:v>
      </x:c>
      <x:c r="G97" s="12" t="n">
        <x:v>0.26</x:v>
      </x:c>
    </x:row>
    <x:row r="98">
      <x:c r="A98" t="n">
        <x:v>5</x:v>
      </x:c>
      <x:c r="B98" t="n">
        <x:v>13</x:v>
      </x:c>
      <x:c r="C98" s="12" t="n">
        <x:v>0.33</x:v>
      </x:c>
      <x:c r="D98" s="12" t="n">
        <x:v>0.41</x:v>
      </x:c>
      <x:c r="E98" s="12" t="n">
        <x:v>0.34</x:v>
      </x:c>
      <x:c r="F98" s="12" t="n">
        <x:v>0.27</x:v>
      </x:c>
      <x:c r="G98" s="12" t="n">
        <x:v>0.3</x:v>
      </x:c>
    </x:row>
    <x:row r="99">
      <x:c r="A99" t="n">
        <x:v>5</x:v>
      </x:c>
      <x:c r="B99" t="n">
        <x:v>14</x:v>
      </x:c>
      <x:c r="C99" s="12" t="n">
        <x:v>0.36</x:v>
      </x:c>
      <x:c r="D99" s="12" t="n">
        <x:v>0.44</x:v>
      </x:c>
      <x:c r="E99" s="12" t="n">
        <x:v>0.3</x:v>
      </x:c>
      <x:c r="F99" s="12" t="n">
        <x:v>0.3</x:v>
      </x:c>
      <x:c r="G99" s="12" t="n">
        <x:v>0.34</x:v>
      </x:c>
    </x:row>
    <x:row r="100">
      <x:c r="A100" t="n">
        <x:v>5</x:v>
      </x:c>
      <x:c r="B100" t="n">
        <x:v>15</x:v>
      </x:c>
      <x:c r="C100" s="12" t="n">
        <x:v>0.39</x:v>
      </x:c>
      <x:c r="D100" s="12" t="n">
        <x:v>0.32</x:v>
      </x:c>
      <x:c r="E100" s="12" t="n">
        <x:v>0.34</x:v>
      </x:c>
      <x:c r="F100" s="12" t="n">
        <x:v>0.33</x:v>
      </x:c>
      <x:c r="G100" s="12" t="n">
        <x:v>0.26</x:v>
      </x:c>
    </x:row>
    <x:row r="101">
      <x:c r="A101" t="n">
        <x:v>5</x:v>
      </x:c>
      <x:c r="B101" t="n">
        <x:v>16</x:v>
      </x:c>
      <x:c r="C101" s="12" t="n">
        <x:v>0.3</x:v>
      </x:c>
      <x:c r="D101" s="12" t="n">
        <x:v>0.35</x:v>
      </x:c>
      <x:c r="E101" s="12" t="n">
        <x:v>0.3</x:v>
      </x:c>
      <x:c r="F101" s="12" t="n">
        <x:v>0.24</x:v>
      </x:c>
      <x:c r="G101" s="12" t="n">
        <x:v>0.3</x:v>
      </x:c>
    </x:row>
    <x:row r="102">
      <x:c r="A102" t="n">
        <x:v>5</x:v>
      </x:c>
      <x:c r="B102" t="n">
        <x:v>17</x:v>
      </x:c>
      <x:c r="C102" s="12" t="n">
        <x:v>0.33</x:v>
      </x:c>
      <x:c r="D102" s="12" t="n">
        <x:v>0.38</x:v>
      </x:c>
      <x:c r="E102" s="12" t="n">
        <x:v>0.34</x:v>
      </x:c>
      <x:c r="F102" s="12" t="n">
        <x:v>0.27</x:v>
      </x:c>
      <x:c r="G102" s="12" t="n">
        <x:v>0.34</x:v>
      </x:c>
    </x:row>
    <x:row r="103">
      <x:c r="A103" t="n">
        <x:v>5</x:v>
      </x:c>
      <x:c r="B103" t="n">
        <x:v>18</x:v>
      </x:c>
      <x:c r="C103" s="12" t="n">
        <x:v>0.36</x:v>
      </x:c>
      <x:c r="D103" s="12" t="n">
        <x:v>0.41</x:v>
      </x:c>
      <x:c r="E103" s="12" t="n">
        <x:v>0.3</x:v>
      </x:c>
      <x:c r="F103" s="12" t="n">
        <x:v>0.3</x:v>
      </x:c>
      <x:c r="G103" s="12" t="n">
        <x:v>0.26</x:v>
      </x:c>
    </x:row>
    <x:row r="104">
      <x:c r="A104" t="n">
        <x:v>5</x:v>
      </x:c>
      <x:c r="B104" t="n">
        <x:v>19</x:v>
      </x:c>
      <x:c r="C104" s="12" t="n">
        <x:v>0.39</x:v>
      </x:c>
      <x:c r="D104" s="12" t="n">
        <x:v>0.44</x:v>
      </x:c>
      <x:c r="E104" s="12" t="n">
        <x:v>0.34</x:v>
      </x:c>
      <x:c r="F104" s="12" t="n">
        <x:v>0.33</x:v>
      </x:c>
      <x:c r="G104" s="12" t="n">
        <x:v>0.3</x:v>
      </x:c>
    </x:row>
    <x:row r="105">
      <x:c r="A105" t="n">
        <x:v>5</x:v>
      </x:c>
      <x:c r="B105" t="n">
        <x:v>20</x:v>
      </x:c>
      <x:c r="C105" s="12" t="n">
        <x:v>0.3</x:v>
      </x:c>
      <x:c r="D105" s="12" t="n">
        <x:v>0.32</x:v>
      </x:c>
      <x:c r="E105" s="12" t="n">
        <x:v>0.3</x:v>
      </x:c>
      <x:c r="F105" s="12" t="n">
        <x:v>0.24</x:v>
      </x:c>
      <x:c r="G105" s="12" t="n">
        <x:v>0.34</x:v>
      </x:c>
    </x:row>
    <x:row r="106">
      <x:c r="A106" t="n">
        <x:v>6</x:v>
      </x:c>
      <x:c r="B106" t="n">
        <x:v>1</x:v>
      </x:c>
      <x:c r="C106" s="12" t="n">
        <x:v>0.43</x:v>
      </x:c>
      <x:c r="D106" s="12" t="n">
        <x:v>0.37</x:v>
      </x:c>
      <x:c r="E106" s="12" t="n">
        <x:v>0.35</x:v>
      </x:c>
      <x:c r="F106" s="12" t="n">
        <x:v>0.26</x:v>
      </x:c>
      <x:c r="G106" s="12" t="n">
        <x:v>0.35</x:v>
      </x:c>
    </x:row>
    <x:row r="107">
      <x:c r="A107" t="n">
        <x:v>6</x:v>
      </x:c>
      <x:c r="B107" t="n">
        <x:v>2</x:v>
      </x:c>
      <x:c r="C107" s="12" t="n">
        <x:v>0.51</x:v>
      </x:c>
      <x:c r="D107" s="12" t="n">
        <x:v>0.44</x:v>
      </x:c>
      <x:c r="E107" s="12" t="n">
        <x:v>0.45</x:v>
      </x:c>
      <x:c r="F107" s="12" t="n">
        <x:v>0.32</x:v>
      </x:c>
      <x:c r="G107" s="12" t="n">
        <x:v>0.42</x:v>
      </x:c>
    </x:row>
    <x:row r="108">
      <x:c r="A108" t="n">
        <x:v>6</x:v>
      </x:c>
      <x:c r="B108" t="n">
        <x:v>3</x:v>
      </x:c>
      <x:c r="C108" s="12" t="n">
        <x:v>0.59</x:v>
      </x:c>
      <x:c r="D108" s="12" t="n">
        <x:v>0.51</x:v>
      </x:c>
      <x:c r="E108" s="12" t="n">
        <x:v>0.25</x:v>
      </x:c>
      <x:c r="F108" s="12" t="n">
        <x:v>0.38</x:v>
      </x:c>
      <x:c r="G108" s="12" t="n">
        <x:v>0.49</x:v>
      </x:c>
    </x:row>
    <x:row r="109">
      <x:c r="A109" t="n">
        <x:v>6</x:v>
      </x:c>
      <x:c r="B109" t="n">
        <x:v>4</x:v>
      </x:c>
      <x:c r="C109" s="12" t="n">
        <x:v>0.35</x:v>
      </x:c>
      <x:c r="D109" s="12" t="n">
        <x:v>0.58</x:v>
      </x:c>
      <x:c r="E109" s="12" t="n">
        <x:v>0.35</x:v>
      </x:c>
      <x:c r="F109" s="12" t="n">
        <x:v>0.2</x:v>
      </x:c>
      <x:c r="G109" s="12" t="n">
        <x:v>0.56</x:v>
      </x:c>
    </x:row>
    <x:row r="110">
      <x:c r="A110" t="n">
        <x:v>6</x:v>
      </x:c>
      <x:c r="B110" t="n">
        <x:v>5</x:v>
      </x:c>
      <x:c r="C110" s="12" t="n">
        <x:v>0.43</x:v>
      </x:c>
      <x:c r="D110" s="12" t="n">
        <x:v>1</x:v>
      </x:c>
      <x:c r="E110" s="12" t="n">
        <x:v>0.45</x:v>
      </x:c>
      <x:c r="F110" s="12" t="n">
        <x:v>0.26</x:v>
      </x:c>
      <x:c r="G110" s="12" t="n">
        <x:v>0.28</x:v>
      </x:c>
    </x:row>
    <x:row r="111">
      <x:c r="A111" t="n">
        <x:v>6</x:v>
      </x:c>
      <x:c r="B111" t="n">
        <x:v>6</x:v>
      </x:c>
      <x:c r="C111" s="12" t="n">
        <x:v>0.51</x:v>
      </x:c>
      <x:c r="D111" s="12" t="n">
        <x:v>0.35</x:v>
      </x:c>
      <x:c r="E111" s="12" t="n">
        <x:v>0.25</x:v>
      </x:c>
      <x:c r="F111" s="12" t="n">
        <x:v>0.32</x:v>
      </x:c>
      <x:c r="G111" s="12" t="n">
        <x:v>0.35</x:v>
      </x:c>
    </x:row>
    <x:row r="112">
      <x:c r="A112" t="n">
        <x:v>6</x:v>
      </x:c>
      <x:c r="B112" t="n">
        <x:v>7</x:v>
      </x:c>
      <x:c r="C112" s="12" t="n">
        <x:v>0.59</x:v>
      </x:c>
      <x:c r="D112" s="12" t="n">
        <x:v>0.44</x:v>
      </x:c>
      <x:c r="E112" s="12" t="n">
        <x:v>0.35</x:v>
      </x:c>
      <x:c r="F112" s="12" t="n">
        <x:v>0.38</x:v>
      </x:c>
      <x:c r="G112" s="12" t="n">
        <x:v>0.42</x:v>
      </x:c>
    </x:row>
    <x:row r="113">
      <x:c r="A113" t="n">
        <x:v>6</x:v>
      </x:c>
      <x:c r="B113" t="n">
        <x:v>8</x:v>
      </x:c>
      <x:c r="C113" s="12" t="n">
        <x:v>0.35</x:v>
      </x:c>
      <x:c r="D113" s="12" t="n">
        <x:v>0.51</x:v>
      </x:c>
      <x:c r="E113" s="12" t="n">
        <x:v>0.45</x:v>
      </x:c>
      <x:c r="F113" s="12" t="n">
        <x:v>0.2</x:v>
      </x:c>
      <x:c r="G113" s="12" t="n">
        <x:v>0.49</x:v>
      </x:c>
    </x:row>
    <x:row r="114">
      <x:c r="A114" t="n">
        <x:v>6</x:v>
      </x:c>
      <x:c r="B114" t="n">
        <x:v>9</x:v>
      </x:c>
      <x:c r="C114" s="12" t="n">
        <x:v>0.43</x:v>
      </x:c>
      <x:c r="D114" s="12" t="n">
        <x:v>0.58</x:v>
      </x:c>
      <x:c r="E114" s="12" t="n">
        <x:v>0.25</x:v>
      </x:c>
      <x:c r="F114" s="12" t="n">
        <x:v>0.85</x:v>
      </x:c>
      <x:c r="G114" s="12" t="n">
        <x:v>0.82</x:v>
      </x:c>
    </x:row>
    <x:row r="115">
      <x:c r="A115" t="n">
        <x:v>6</x:v>
      </x:c>
      <x:c r="B115" t="n">
        <x:v>10</x:v>
      </x:c>
      <x:c r="C115" s="12" t="n">
        <x:v>0.51</x:v>
      </x:c>
      <x:c r="D115" s="12" t="n">
        <x:v>0.3</x:v>
      </x:c>
      <x:c r="E115" s="12" t="n">
        <x:v>0.35</x:v>
      </x:c>
      <x:c r="F115" s="12" t="n">
        <x:v>0.25</x:v>
      </x:c>
      <x:c r="G115" s="12" t="n">
        <x:v>0.3</x:v>
      </x:c>
    </x:row>
    <x:row r="116">
      <x:c r="A116" t="n">
        <x:v>6</x:v>
      </x:c>
      <x:c r="B116" t="n">
        <x:v>11</x:v>
      </x:c>
      <x:c r="C116" s="12" t="n">
        <x:v>0.59</x:v>
      </x:c>
      <x:c r="D116" s="12" t="n">
        <x:v>0.37</x:v>
      </x:c>
      <x:c r="E116" s="12" t="n">
        <x:v>0.45</x:v>
      </x:c>
      <x:c r="F116" s="12" t="n">
        <x:v>0.38</x:v>
      </x:c>
      <x:c r="G116" s="12" t="n">
        <x:v>0.35</x:v>
      </x:c>
    </x:row>
    <x:row r="117">
      <x:c r="A117" t="n">
        <x:v>6</x:v>
      </x:c>
      <x:c r="B117" t="n">
        <x:v>12</x:v>
      </x:c>
      <x:c r="C117" s="12" t="n">
        <x:v>0.35</x:v>
      </x:c>
      <x:c r="D117" s="12" t="n">
        <x:v>0.44</x:v>
      </x:c>
      <x:c r="E117" s="12" t="n">
        <x:v>0.25</x:v>
      </x:c>
      <x:c r="F117" s="12" t="n">
        <x:v>0.2</x:v>
      </x:c>
      <x:c r="G117" s="12" t="n">
        <x:v>0.42</x:v>
      </x:c>
    </x:row>
    <x:row r="118">
      <x:c r="A118" t="n">
        <x:v>6</x:v>
      </x:c>
      <x:c r="B118" t="n">
        <x:v>13</x:v>
      </x:c>
      <x:c r="C118" s="12" t="n">
        <x:v>0.43</x:v>
      </x:c>
      <x:c r="D118" s="12" t="n">
        <x:v>0.51</x:v>
      </x:c>
      <x:c r="E118" s="12" t="n">
        <x:v>0.35</x:v>
      </x:c>
      <x:c r="F118" s="12" t="n">
        <x:v>0.26</x:v>
      </x:c>
      <x:c r="G118" s="12" t="n">
        <x:v>0.49</x:v>
      </x:c>
    </x:row>
    <x:row r="119">
      <x:c r="A119" t="n">
        <x:v>6</x:v>
      </x:c>
      <x:c r="B119" t="n">
        <x:v>14</x:v>
      </x:c>
      <x:c r="C119" s="12" t="n">
        <x:v>0.51</x:v>
      </x:c>
      <x:c r="D119" s="12" t="n">
        <x:v>1</x:v>
      </x:c>
      <x:c r="E119" s="12" t="n">
        <x:v>0.45</x:v>
      </x:c>
      <x:c r="F119" s="12" t="n">
        <x:v>0.32</x:v>
      </x:c>
      <x:c r="G119" s="12" t="n">
        <x:v>0.56</x:v>
      </x:c>
    </x:row>
    <x:row r="120">
      <x:c r="A120" t="n">
        <x:v>6</x:v>
      </x:c>
      <x:c r="B120" t="n">
        <x:v>15</x:v>
      </x:c>
      <x:c r="C120" s="12" t="n">
        <x:v>0.59</x:v>
      </x:c>
      <x:c r="D120" s="12" t="n">
        <x:v>0.3</x:v>
      </x:c>
      <x:c r="E120" s="12" t="n">
        <x:v>0.25</x:v>
      </x:c>
      <x:c r="F120" s="12" t="n">
        <x:v>0.38</x:v>
      </x:c>
      <x:c r="G120" s="12" t="n">
        <x:v>0.28</x:v>
      </x:c>
    </x:row>
    <x:row r="121">
      <x:c r="A121" t="n">
        <x:v>6</x:v>
      </x:c>
      <x:c r="B121" t="n">
        <x:v>16</x:v>
      </x:c>
      <x:c r="C121" s="12" t="n">
        <x:v>0.35</x:v>
      </x:c>
      <x:c r="D121" s="12" t="n">
        <x:v>0.37</x:v>
      </x:c>
      <x:c r="E121" s="12" t="n">
        <x:v>0.35</x:v>
      </x:c>
      <x:c r="F121" s="12" t="n">
        <x:v>0.2</x:v>
      </x:c>
      <x:c r="G121" s="12" t="n">
        <x:v>0.35</x:v>
      </x:c>
    </x:row>
    <x:row r="122">
      <x:c r="A122" t="n">
        <x:v>6</x:v>
      </x:c>
      <x:c r="B122" t="n">
        <x:v>17</x:v>
      </x:c>
      <x:c r="C122" s="12" t="n">
        <x:v>0.43</x:v>
      </x:c>
      <x:c r="D122" s="12" t="n">
        <x:v>0.44</x:v>
      </x:c>
      <x:c r="E122" s="12" t="n">
        <x:v>0.45</x:v>
      </x:c>
      <x:c r="F122" s="12" t="n">
        <x:v>0.26</x:v>
      </x:c>
      <x:c r="G122" s="12" t="n">
        <x:v>0.42</x:v>
      </x:c>
    </x:row>
    <x:row r="123">
      <x:c r="A123" t="n">
        <x:v>6</x:v>
      </x:c>
      <x:c r="B123" t="n">
        <x:v>18</x:v>
      </x:c>
      <x:c r="C123" s="12" t="n">
        <x:v>0.51</x:v>
      </x:c>
      <x:c r="D123" s="12" t="n">
        <x:v>0.51</x:v>
      </x:c>
      <x:c r="E123" s="12" t="n">
        <x:v>0.25</x:v>
      </x:c>
      <x:c r="F123" s="12" t="n">
        <x:v>0.32</x:v>
      </x:c>
      <x:c r="G123" s="12" t="n">
        <x:v>0.49</x:v>
      </x:c>
    </x:row>
    <x:row r="124">
      <x:c r="A124" t="n">
        <x:v>6</x:v>
      </x:c>
      <x:c r="B124" t="n">
        <x:v>19</x:v>
      </x:c>
      <x:c r="C124" s="12" t="n">
        <x:v>0.59</x:v>
      </x:c>
      <x:c r="D124" s="12" t="n">
        <x:v>0.58</x:v>
      </x:c>
      <x:c r="E124" s="12" t="n">
        <x:v>0.35</x:v>
      </x:c>
      <x:c r="F124" s="12" t="n">
        <x:v>0.38</x:v>
      </x:c>
      <x:c r="G124" s="12" t="n">
        <x:v>0.56</x:v>
      </x:c>
    </x:row>
    <x:row r="125">
      <x:c r="A125" t="n">
        <x:v>6</x:v>
      </x:c>
      <x:c r="B125" t="n">
        <x:v>20</x:v>
      </x:c>
      <x:c r="C125" s="12" t="n">
        <x:v>0.35</x:v>
      </x:c>
      <x:c r="D125" s="12" t="n">
        <x:v>0.3</x:v>
      </x:c>
      <x:c r="E125" s="12" t="n">
        <x:v>0.45</x:v>
      </x:c>
      <x:c r="F125" s="12" t="n">
        <x:v>0.2</x:v>
      </x:c>
      <x:c r="G125" s="12" t="n">
        <x:v>0.28</x:v>
      </x:c>
    </x:row>
    <x:row r="126">
      <x:c r="A126" t="n">
        <x:v>7</x:v>
      </x:c>
      <x:c r="B126" t="n">
        <x:v>1</x:v>
      </x:c>
      <x:c r="C126" s="12" t="n">
        <x:v>0.2</x:v>
      </x:c>
      <x:c r="D126" s="12" t="n">
        <x:v>0.22</x:v>
      </x:c>
      <x:c r="E126" s="12" t="n">
        <x:v>0.65</x:v>
      </x:c>
      <x:c r="F126" s="12" t="n">
        <x:v>0.18</x:v>
      </x:c>
      <x:c r="G126" s="12" t="n">
        <x:v>0.16</x:v>
      </x:c>
    </x:row>
    <x:row r="127">
      <x:c r="A127" t="n">
        <x:v>7</x:v>
      </x:c>
      <x:c r="B127" t="n">
        <x:v>2</x:v>
      </x:c>
      <x:c r="C127" s="12" t="n">
        <x:v>0.78</x:v>
      </x:c>
      <x:c r="D127" s="12" t="n">
        <x:v>0.75</x:v>
      </x:c>
      <x:c r="E127" s="12" t="n">
        <x:v>0.12</x:v>
      </x:c>
      <x:c r="F127" s="12" t="n">
        <x:v>0.18</x:v>
      </x:c>
      <x:c r="G127" s="12" t="n">
        <x:v>0.16</x:v>
      </x:c>
    </x:row>
    <x:row r="128">
      <x:c r="A128" t="n">
        <x:v>7</x:v>
      </x:c>
      <x:c r="B128" t="n">
        <x:v>3</x:v>
      </x:c>
      <x:c r="C128" s="12" t="n">
        <x:v>0.25</x:v>
      </x:c>
      <x:c r="D128" s="12" t="n">
        <x:v>0.22</x:v>
      </x:c>
      <x:c r="E128" s="12" t="n">
        <x:v>0.12</x:v>
      </x:c>
      <x:c r="F128" s="12" t="n">
        <x:v>0.18</x:v>
      </x:c>
      <x:c r="G128" s="12" t="n">
        <x:v>0.68</x:v>
      </x:c>
    </x:row>
    <x:row r="129">
      <x:c r="A129" t="n">
        <x:v>7</x:v>
      </x:c>
      <x:c r="B129" t="n">
        <x:v>4</x:v>
      </x:c>
      <x:c r="C129" s="12" t="n">
        <x:v>0.82</x:v>
      </x:c>
      <x:c r="D129" s="12" t="n">
        <x:v>0.75</x:v>
      </x:c>
      <x:c r="E129" s="12" t="n">
        <x:v>0.65</x:v>
      </x:c>
      <x:c r="F129" s="12" t="n">
        <x:v>0.18</x:v>
      </x:c>
      <x:c r="G129" s="12" t="n">
        <x:v>0.16</x:v>
      </x:c>
    </x:row>
    <x:row r="130">
      <x:c r="A130" t="n">
        <x:v>7</x:v>
      </x:c>
      <x:c r="B130" t="n">
        <x:v>5</x:v>
      </x:c>
      <x:c r="C130" s="12" t="n">
        <x:v>0.3</x:v>
      </x:c>
      <x:c r="D130" s="12" t="n">
        <x:v>0.22</x:v>
      </x:c>
      <x:c r="E130" s="12" t="n">
        <x:v>0.65</x:v>
      </x:c>
      <x:c r="F130" s="12" t="n">
        <x:v>0.55</x:v>
      </x:c>
      <x:c r="G130" s="12" t="n">
        <x:v>0.16</x:v>
      </x:c>
    </x:row>
    <x:row r="131">
      <x:c r="A131" t="n">
        <x:v>7</x:v>
      </x:c>
      <x:c r="B131" t="n">
        <x:v>6</x:v>
      </x:c>
      <x:c r="C131" s="12" t="n">
        <x:v>0.86</x:v>
      </x:c>
      <x:c r="D131" s="12" t="n">
        <x:v>0.75</x:v>
      </x:c>
      <x:c r="E131" s="12" t="n">
        <x:v>0.12</x:v>
      </x:c>
      <x:c r="F131" s="12" t="n">
        <x:v>0.18</x:v>
      </x:c>
      <x:c r="G131" s="12" t="n">
        <x:v>0.68</x:v>
      </x:c>
    </x:row>
    <x:row r="132">
      <x:c r="A132" t="n">
        <x:v>7</x:v>
      </x:c>
      <x:c r="B132" t="n">
        <x:v>7</x:v>
      </x:c>
      <x:c r="C132" s="12" t="n">
        <x:v>0.35</x:v>
      </x:c>
      <x:c r="D132" s="12" t="n">
        <x:v>0.22</x:v>
      </x:c>
      <x:c r="E132" s="12" t="n">
        <x:v>0.12</x:v>
      </x:c>
      <x:c r="F132" s="12" t="n">
        <x:v>0.18</x:v>
      </x:c>
      <x:c r="G132" s="12" t="n">
        <x:v>0.16</x:v>
      </x:c>
    </x:row>
    <x:row r="133">
      <x:c r="A133" t="n">
        <x:v>7</x:v>
      </x:c>
      <x:c r="B133" t="n">
        <x:v>8</x:v>
      </x:c>
      <x:c r="C133" s="12" t="n">
        <x:v>0.88</x:v>
      </x:c>
      <x:c r="D133" s="12" t="n">
        <x:v>0.75</x:v>
      </x:c>
      <x:c r="E133" s="12" t="n">
        <x:v>0.65</x:v>
      </x:c>
      <x:c r="F133" s="12" t="n">
        <x:v>0.18</x:v>
      </x:c>
      <x:c r="G133" s="12" t="n">
        <x:v>0.16</x:v>
      </x:c>
    </x:row>
    <x:row r="134">
      <x:c r="A134" t="n">
        <x:v>7</x:v>
      </x:c>
      <x:c r="B134" t="n">
        <x:v>9</x:v>
      </x:c>
      <x:c r="C134" s="12" t="n">
        <x:v>0.4</x:v>
      </x:c>
      <x:c r="D134" s="12" t="n">
        <x:v>0.22</x:v>
      </x:c>
      <x:c r="E134" s="12" t="n">
        <x:v>0.65</x:v>
      </x:c>
      <x:c r="F134" s="12" t="n">
        <x:v>0.18</x:v>
      </x:c>
      <x:c r="G134" s="12" t="n">
        <x:v>0.68</x:v>
      </x:c>
    </x:row>
    <x:row r="135">
      <x:c r="A135" t="n">
        <x:v>7</x:v>
      </x:c>
      <x:c r="B135" t="n">
        <x:v>10</x:v>
      </x:c>
      <x:c r="C135" s="12" t="n">
        <x:v>0.9</x:v>
      </x:c>
      <x:c r="D135" s="12" t="n">
        <x:v>0.75</x:v>
      </x:c>
      <x:c r="E135" s="12" t="n">
        <x:v>0.12</x:v>
      </x:c>
      <x:c r="F135" s="12" t="n">
        <x:v>0.55</x:v>
      </x:c>
      <x:c r="G135" s="12" t="n">
        <x:v>0.16</x:v>
      </x:c>
    </x:row>
    <x:row r="136">
      <x:c r="A136" t="n">
        <x:v>7</x:v>
      </x:c>
      <x:c r="B136" t="n">
        <x:v>11</x:v>
      </x:c>
      <x:c r="C136" s="12" t="n">
        <x:v>0.38</x:v>
      </x:c>
      <x:c r="D136" s="12" t="n">
        <x:v>0.22</x:v>
      </x:c>
      <x:c r="E136" s="12" t="n">
        <x:v>0.12</x:v>
      </x:c>
      <x:c r="F136" s="12" t="n">
        <x:v>0.18</x:v>
      </x:c>
      <x:c r="G136" s="12" t="n">
        <x:v>0.16</x:v>
      </x:c>
    </x:row>
    <x:row r="137">
      <x:c r="A137" t="n">
        <x:v>7</x:v>
      </x:c>
      <x:c r="B137" t="n">
        <x:v>12</x:v>
      </x:c>
      <x:c r="C137" s="12" t="n">
        <x:v>0.84</x:v>
      </x:c>
      <x:c r="D137" s="12" t="n">
        <x:v>0.75</x:v>
      </x:c>
      <x:c r="E137" s="12" t="n">
        <x:v>0.65</x:v>
      </x:c>
      <x:c r="F137" s="12" t="n">
        <x:v>0.18</x:v>
      </x:c>
      <x:c r="G137" s="12" t="n">
        <x:v>0.68</x:v>
      </x:c>
    </x:row>
    <x:row r="138">
      <x:c r="A138" t="n">
        <x:v>7</x:v>
      </x:c>
      <x:c r="B138" t="n">
        <x:v>13</x:v>
      </x:c>
      <x:c r="C138" s="12" t="n">
        <x:v>0.32</x:v>
      </x:c>
      <x:c r="D138" s="12" t="n">
        <x:v>0.22</x:v>
      </x:c>
      <x:c r="E138" s="12" t="n">
        <x:v>0.65</x:v>
      </x:c>
      <x:c r="F138" s="12" t="n">
        <x:v>0.18</x:v>
      </x:c>
      <x:c r="G138" s="12" t="n">
        <x:v>0.16</x:v>
      </x:c>
    </x:row>
    <x:row r="139">
      <x:c r="A139" t="n">
        <x:v>7</x:v>
      </x:c>
      <x:c r="B139" t="n">
        <x:v>14</x:v>
      </x:c>
      <x:c r="C139" s="12" t="n">
        <x:v>0.8</x:v>
      </x:c>
      <x:c r="D139" s="12" t="n">
        <x:v>0.75</x:v>
      </x:c>
      <x:c r="E139" s="12" t="n">
        <x:v>0.12</x:v>
      </x:c>
      <x:c r="F139" s="12" t="n">
        <x:v>0.18</x:v>
      </x:c>
      <x:c r="G139" s="12" t="n">
        <x:v>0.16</x:v>
      </x:c>
    </x:row>
    <x:row r="140">
      <x:c r="A140" t="n">
        <x:v>7</x:v>
      </x:c>
      <x:c r="B140" t="n">
        <x:v>15</x:v>
      </x:c>
      <x:c r="C140" s="12" t="n">
        <x:v>0.28</x:v>
      </x:c>
      <x:c r="D140" s="12" t="n">
        <x:v>0.22</x:v>
      </x:c>
      <x:c r="E140" s="12" t="n">
        <x:v>0.12</x:v>
      </x:c>
      <x:c r="F140" s="12" t="n">
        <x:v>0.55</x:v>
      </x:c>
      <x:c r="G140" s="12" t="n">
        <x:v>0.68</x:v>
      </x:c>
    </x:row>
    <x:row r="141">
      <x:c r="A141" t="n">
        <x:v>7</x:v>
      </x:c>
      <x:c r="B141" t="n">
        <x:v>16</x:v>
      </x:c>
      <x:c r="C141" s="12" t="n">
        <x:v>0.76</x:v>
      </x:c>
      <x:c r="D141" s="12" t="n">
        <x:v>0.75</x:v>
      </x:c>
      <x:c r="E141" s="12" t="n">
        <x:v>0.65</x:v>
      </x:c>
      <x:c r="F141" s="12" t="n">
        <x:v>0.18</x:v>
      </x:c>
      <x:c r="G141" s="12" t="n">
        <x:v>0.16</x:v>
      </x:c>
    </x:row>
    <x:row r="142">
      <x:c r="A142" t="n">
        <x:v>7</x:v>
      </x:c>
      <x:c r="B142" t="n">
        <x:v>17</x:v>
      </x:c>
      <x:c r="C142" s="12" t="n">
        <x:v>0.24</x:v>
      </x:c>
      <x:c r="D142" s="12" t="n">
        <x:v>0.22</x:v>
      </x:c>
      <x:c r="E142" s="12" t="n">
        <x:v>0.65</x:v>
      </x:c>
      <x:c r="F142" s="12" t="n">
        <x:v>0.18</x:v>
      </x:c>
      <x:c r="G142" s="12" t="n">
        <x:v>0.16</x:v>
      </x:c>
    </x:row>
    <x:row r="143">
      <x:c r="A143" t="n">
        <x:v>7</x:v>
      </x:c>
      <x:c r="B143" t="n">
        <x:v>18</x:v>
      </x:c>
      <x:c r="C143" s="12" t="n">
        <x:v>0.72</x:v>
      </x:c>
      <x:c r="D143" s="12" t="n">
        <x:v>0.75</x:v>
      </x:c>
      <x:c r="E143" s="12" t="n">
        <x:v>0.12</x:v>
      </x:c>
      <x:c r="F143" s="12" t="n">
        <x:v>0.18</x:v>
      </x:c>
      <x:c r="G143" s="12" t="n">
        <x:v>0.68</x:v>
      </x:c>
    </x:row>
    <x:row r="144">
      <x:c r="A144" t="n">
        <x:v>7</x:v>
      </x:c>
      <x:c r="B144" t="n">
        <x:v>19</x:v>
      </x:c>
      <x:c r="C144" s="12" t="n">
        <x:v>0.22</x:v>
      </x:c>
      <x:c r="D144" s="12" t="n">
        <x:v>0.22</x:v>
      </x:c>
      <x:c r="E144" s="12" t="n">
        <x:v>0.12</x:v>
      </x:c>
      <x:c r="F144" s="12" t="n">
        <x:v>0.18</x:v>
      </x:c>
      <x:c r="G144" s="12" t="n">
        <x:v>0.16</x:v>
      </x:c>
    </x:row>
    <x:row r="145">
      <x:c r="A145" t="n">
        <x:v>7</x:v>
      </x:c>
      <x:c r="B145" t="n">
        <x:v>20</x:v>
      </x:c>
      <x:c r="C145" s="12" t="n">
        <x:v>0.7</x:v>
      </x:c>
      <x:c r="D145" s="12" t="n">
        <x:v>0.75</x:v>
      </x:c>
      <x:c r="E145" s="12" t="n">
        <x:v>0.65</x:v>
      </x:c>
      <x:c r="F145" s="12" t="n">
        <x:v>0.55</x:v>
      </x:c>
      <x:c r="G145" s="12" t="n">
        <x:v>0.16</x:v>
      </x:c>
    </x:row>
    <x:row r="146">
      <x:c r="A146" t="n">
        <x:v>8</x:v>
      </x:c>
      <x:c r="B146" t="n">
        <x:v>1</x:v>
      </x:c>
      <x:c r="C146" s="12" t="n">
        <x:v>0.45</x:v>
      </x:c>
      <x:c r="D146" s="12" t="n">
        <x:v>0.4</x:v>
      </x:c>
      <x:c r="E146" s="12" t="n">
        <x:v>0.35</x:v>
      </x:c>
      <x:c r="F146" s="12" t="n">
        <x:v>0.3</x:v>
      </x:c>
      <x:c r="G146" s="12" t="n">
        <x:v>0.25</x:v>
      </x:c>
    </x:row>
    <x:row r="147">
      <x:c r="A147" t="n">
        <x:v>8</x:v>
      </x:c>
      <x:c r="B147" t="n">
        <x:v>2</x:v>
      </x:c>
      <x:c r="C147" s="12" t="n">
        <x:v>0.45</x:v>
      </x:c>
      <x:c r="D147" s="12" t="n">
        <x:v>0.4</x:v>
      </x:c>
      <x:c r="E147" s="12" t="n">
        <x:v>0.35</x:v>
      </x:c>
      <x:c r="F147" s="12" t="n">
        <x:v>0.3</x:v>
      </x:c>
      <x:c r="G147" s="12" t="n">
        <x:v>0.25</x:v>
      </x:c>
    </x:row>
    <x:row r="148">
      <x:c r="A148" t="n">
        <x:v>8</x:v>
      </x:c>
      <x:c r="B148" t="n">
        <x:v>3</x:v>
      </x:c>
      <x:c r="C148" s="12" t="n">
        <x:v>0.45</x:v>
      </x:c>
      <x:c r="D148" s="12" t="n">
        <x:v>0.4</x:v>
      </x:c>
      <x:c r="E148" s="12" t="n">
        <x:v>0.35</x:v>
      </x:c>
      <x:c r="F148" s="12" t="n">
        <x:v>0.3</x:v>
      </x:c>
      <x:c r="G148" s="12" t="n">
        <x:v>0.85</x:v>
      </x:c>
    </x:row>
    <x:row r="149">
      <x:c r="A149" t="n">
        <x:v>8</x:v>
      </x:c>
      <x:c r="B149" t="n">
        <x:v>4</x:v>
      </x:c>
      <x:c r="C149" s="12" t="n">
        <x:v>1</x:v>
      </x:c>
      <x:c r="D149" s="12" t="n">
        <x:v>0.4</x:v>
      </x:c>
      <x:c r="E149" s="12" t="n">
        <x:v>0.35</x:v>
      </x:c>
      <x:c r="F149" s="12" t="n">
        <x:v>0.3</x:v>
      </x:c>
      <x:c r="G149" s="12" t="n">
        <x:v>0.25</x:v>
      </x:c>
    </x:row>
    <x:row r="150">
      <x:c r="A150" t="n">
        <x:v>8</x:v>
      </x:c>
      <x:c r="B150" t="n">
        <x:v>5</x:v>
      </x:c>
      <x:c r="C150" s="12" t="n">
        <x:v>0.45</x:v>
      </x:c>
      <x:c r="D150" s="12" t="n">
        <x:v>1</x:v>
      </x:c>
      <x:c r="E150" s="12" t="n">
        <x:v>0.35</x:v>
      </x:c>
      <x:c r="F150" s="12" t="n">
        <x:v>0.3</x:v>
      </x:c>
      <x:c r="G150" s="12" t="n">
        <x:v>0.25</x:v>
      </x:c>
    </x:row>
    <x:row r="151">
      <x:c r="A151" t="n">
        <x:v>8</x:v>
      </x:c>
      <x:c r="B151" t="n">
        <x:v>6</x:v>
      </x:c>
      <x:c r="C151" s="12" t="n">
        <x:v>0.45</x:v>
      </x:c>
      <x:c r="D151" s="12" t="n">
        <x:v>0.4</x:v>
      </x:c>
      <x:c r="E151" s="12" t="n">
        <x:v>0.95</x:v>
      </x:c>
      <x:c r="F151" s="12" t="n">
        <x:v>0.3</x:v>
      </x:c>
      <x:c r="G151" s="12" t="n">
        <x:v>0.85</x:v>
      </x:c>
    </x:row>
    <x:row r="152">
      <x:c r="A152" t="n">
        <x:v>8</x:v>
      </x:c>
      <x:c r="B152" t="n">
        <x:v>7</x:v>
      </x:c>
      <x:c r="C152" s="12" t="n">
        <x:v>0.45</x:v>
      </x:c>
      <x:c r="D152" s="12" t="n">
        <x:v>0.4</x:v>
      </x:c>
      <x:c r="E152" s="12" t="n">
        <x:v>0.35</x:v>
      </x:c>
      <x:c r="F152" s="12" t="n">
        <x:v>0.9</x:v>
      </x:c>
      <x:c r="G152" s="12" t="n">
        <x:v>0.25</x:v>
      </x:c>
    </x:row>
    <x:row r="153">
      <x:c r="A153" t="n">
        <x:v>8</x:v>
      </x:c>
      <x:c r="B153" t="n">
        <x:v>8</x:v>
      </x:c>
      <x:c r="C153" s="12" t="n">
        <x:v>1</x:v>
      </x:c>
      <x:c r="D153" s="12" t="n">
        <x:v>0.4</x:v>
      </x:c>
      <x:c r="E153" s="12" t="n">
        <x:v>0.35</x:v>
      </x:c>
      <x:c r="F153" s="12" t="n">
        <x:v>0.3</x:v>
      </x:c>
      <x:c r="G153" s="12" t="n">
        <x:v>0.25</x:v>
      </x:c>
    </x:row>
    <x:row r="154">
      <x:c r="A154" t="n">
        <x:v>8</x:v>
      </x:c>
      <x:c r="B154" t="n">
        <x:v>9</x:v>
      </x:c>
      <x:c r="C154" s="12" t="n">
        <x:v>0.2</x:v>
      </x:c>
      <x:c r="D154" s="12" t="n">
        <x:v>0.22</x:v>
      </x:c>
      <x:c r="E154" s="12" t="n">
        <x:v>0.24</x:v>
      </x:c>
      <x:c r="F154" s="12" t="n">
        <x:v>0.26</x:v>
      </x:c>
      <x:c r="G154" s="12" t="n">
        <x:v>0.28</x:v>
      </x:c>
    </x:row>
    <x:row r="155">
      <x:c r="A155" t="n">
        <x:v>8</x:v>
      </x:c>
      <x:c r="B155" t="n">
        <x:v>10</x:v>
      </x:c>
      <x:c r="C155" s="12" t="n">
        <x:v>0.45</x:v>
      </x:c>
      <x:c r="D155" s="12" t="n">
        <x:v>1</x:v>
      </x:c>
      <x:c r="E155" s="12" t="n">
        <x:v>0.35</x:v>
      </x:c>
      <x:c r="F155" s="12" t="n">
        <x:v>0.3</x:v>
      </x:c>
      <x:c r="G155" s="12" t="n">
        <x:v>0.25</x:v>
      </x:c>
    </x:row>
    <x:row r="156">
      <x:c r="A156" t="n">
        <x:v>8</x:v>
      </x:c>
      <x:c r="B156" t="n">
        <x:v>11</x:v>
      </x:c>
      <x:c r="C156" s="12" t="n">
        <x:v>0.45</x:v>
      </x:c>
      <x:c r="D156" s="12" t="n">
        <x:v>0.4</x:v>
      </x:c>
      <x:c r="E156" s="12" t="n">
        <x:v>0.35</x:v>
      </x:c>
      <x:c r="F156" s="12" t="n">
        <x:v>0.3</x:v>
      </x:c>
      <x:c r="G156" s="12" t="n">
        <x:v>0.25</x:v>
      </x:c>
    </x:row>
    <x:row r="157">
      <x:c r="A157" t="n">
        <x:v>8</x:v>
      </x:c>
      <x:c r="B157" t="n">
        <x:v>12</x:v>
      </x:c>
      <x:c r="C157" s="12" t="n">
        <x:v>1</x:v>
      </x:c>
      <x:c r="D157" s="12" t="n">
        <x:v>0.4</x:v>
      </x:c>
      <x:c r="E157" s="12" t="n">
        <x:v>0.95</x:v>
      </x:c>
      <x:c r="F157" s="12" t="n">
        <x:v>0.3</x:v>
      </x:c>
      <x:c r="G157" s="12" t="n">
        <x:v>0.85</x:v>
      </x:c>
    </x:row>
    <x:row r="158">
      <x:c r="A158" t="n">
        <x:v>8</x:v>
      </x:c>
      <x:c r="B158" t="n">
        <x:v>13</x:v>
      </x:c>
      <x:c r="C158" s="12" t="n">
        <x:v>0.45</x:v>
      </x:c>
      <x:c r="D158" s="12" t="n">
        <x:v>0.4</x:v>
      </x:c>
      <x:c r="E158" s="12" t="n">
        <x:v>0.35</x:v>
      </x:c>
      <x:c r="F158" s="12" t="n">
        <x:v>0.3</x:v>
      </x:c>
      <x:c r="G158" s="12" t="n">
        <x:v>0.25</x:v>
      </x:c>
    </x:row>
    <x:row r="159">
      <x:c r="A159" t="n">
        <x:v>8</x:v>
      </x:c>
      <x:c r="B159" t="n">
        <x:v>14</x:v>
      </x:c>
      <x:c r="C159" s="12" t="n">
        <x:v>0.45</x:v>
      </x:c>
      <x:c r="D159" s="12" t="n">
        <x:v>0.4</x:v>
      </x:c>
      <x:c r="E159" s="12" t="n">
        <x:v>0.35</x:v>
      </x:c>
      <x:c r="F159" s="12" t="n">
        <x:v>0.9</x:v>
      </x:c>
      <x:c r="G159" s="12" t="n">
        <x:v>0.25</x:v>
      </x:c>
    </x:row>
    <x:row r="160">
      <x:c r="A160" t="n">
        <x:v>8</x:v>
      </x:c>
      <x:c r="B160" t="n">
        <x:v>15</x:v>
      </x:c>
      <x:c r="C160" s="12" t="n">
        <x:v>0.2</x:v>
      </x:c>
      <x:c r="D160" s="12" t="n">
        <x:v>0.22</x:v>
      </x:c>
      <x:c r="E160" s="12" t="n">
        <x:v>0.24</x:v>
      </x:c>
      <x:c r="F160" s="12" t="n">
        <x:v>0.26</x:v>
      </x:c>
      <x:c r="G160" s="12" t="n">
        <x:v>0.28</x:v>
      </x:c>
    </x:row>
    <x:row r="161">
      <x:c r="A161" t="n">
        <x:v>8</x:v>
      </x:c>
      <x:c r="B161" t="n">
        <x:v>16</x:v>
      </x:c>
      <x:c r="C161" s="12" t="n">
        <x:v>1</x:v>
      </x:c>
      <x:c r="D161" s="12" t="n">
        <x:v>0.4</x:v>
      </x:c>
      <x:c r="E161" s="12" t="n">
        <x:v>0.35</x:v>
      </x:c>
      <x:c r="F161" s="12" t="n">
        <x:v>0.3</x:v>
      </x:c>
      <x:c r="G161" s="12" t="n">
        <x:v>0.25</x:v>
      </x:c>
    </x:row>
    <x:row r="162">
      <x:c r="A162" t="n">
        <x:v>8</x:v>
      </x:c>
      <x:c r="B162" t="n">
        <x:v>17</x:v>
      </x:c>
      <x:c r="C162" s="12" t="n">
        <x:v>0.45</x:v>
      </x:c>
      <x:c r="D162" s="12" t="n">
        <x:v>0.4</x:v>
      </x:c>
      <x:c r="E162" s="12" t="n">
        <x:v>0.35</x:v>
      </x:c>
      <x:c r="F162" s="12" t="n">
        <x:v>0.3</x:v>
      </x:c>
      <x:c r="G162" s="12" t="n">
        <x:v>0.25</x:v>
      </x:c>
    </x:row>
    <x:row r="163">
      <x:c r="A163" t="n">
        <x:v>8</x:v>
      </x:c>
      <x:c r="B163" t="n">
        <x:v>18</x:v>
      </x:c>
      <x:c r="C163" s="12" t="n">
        <x:v>0.45</x:v>
      </x:c>
      <x:c r="D163" s="12" t="n">
        <x:v>0.4</x:v>
      </x:c>
      <x:c r="E163" s="12" t="n">
        <x:v>0.95</x:v>
      </x:c>
      <x:c r="F163" s="12" t="n">
        <x:v>0.3</x:v>
      </x:c>
      <x:c r="G163" s="12" t="n">
        <x:v>0.85</x:v>
      </x:c>
    </x:row>
    <x:row r="164">
      <x:c r="A164" t="n">
        <x:v>8</x:v>
      </x:c>
      <x:c r="B164" t="n">
        <x:v>19</x:v>
      </x:c>
      <x:c r="C164" s="12" t="n">
        <x:v>0.45</x:v>
      </x:c>
      <x:c r="D164" s="12" t="n">
        <x:v>0.4</x:v>
      </x:c>
      <x:c r="E164" s="12" t="n">
        <x:v>0.35</x:v>
      </x:c>
      <x:c r="F164" s="12" t="n">
        <x:v>0.3</x:v>
      </x:c>
      <x:c r="G164" s="12" t="n">
        <x:v>0.25</x:v>
      </x:c>
    </x:row>
    <x:row r="165">
      <x:c r="A165" t="n">
        <x:v>8</x:v>
      </x:c>
      <x:c r="B165" t="n">
        <x:v>20</x:v>
      </x:c>
      <x:c r="C165" s="12" t="n">
        <x:v>1</x:v>
      </x:c>
      <x:c r="D165" s="12" t="n">
        <x:v>1</x:v>
      </x:c>
      <x:c r="E165" s="12" t="n">
        <x:v>0.35</x:v>
      </x:c>
      <x:c r="F165" s="12" t="n">
        <x:v>0.3</x:v>
      </x:c>
      <x:c r="G165" s="12" t="n">
        <x:v>0.25</x:v>
      </x:c>
    </x:row>
    <x:row r="166">
      <x:c r="A166" t="n">
        <x:v>9</x:v>
      </x:c>
      <x:c r="B166" t="n">
        <x:v>1</x:v>
      </x:c>
      <x:c r="C166" s="12" t="n">
        <x:v>0.15</x:v>
      </x:c>
      <x:c r="D166" s="12" t="n">
        <x:v>0.25</x:v>
      </x:c>
      <x:c r="E166" s="12" t="n">
        <x:v>0.35</x:v>
      </x:c>
      <x:c r="F166" s="12" t="n">
        <x:v>0.45</x:v>
      </x:c>
      <x:c r="G166" s="12" t="n">
        <x:v>0.55</x:v>
      </x:c>
    </x:row>
    <x:row r="167">
      <x:c r="A167" t="n">
        <x:v>9</x:v>
      </x:c>
      <x:c r="B167" t="n">
        <x:v>2</x:v>
      </x:c>
      <x:c r="C167" s="12" t="n">
        <x:v>1</x:v>
      </x:c>
      <x:c r="D167" s="12" t="n">
        <x:v>0.25</x:v>
      </x:c>
      <x:c r="E167" s="12" t="n">
        <x:v>0.35</x:v>
      </x:c>
      <x:c r="F167" s="12" t="n">
        <x:v>0.45</x:v>
      </x:c>
      <x:c r="G167" s="12" t="n">
        <x:v>0.55</x:v>
      </x:c>
    </x:row>
    <x:row r="168">
      <x:c r="A168" t="n">
        <x:v>9</x:v>
      </x:c>
      <x:c r="B168" t="n">
        <x:v>3</x:v>
      </x:c>
      <x:c r="C168" s="12" t="n">
        <x:v>0.15</x:v>
      </x:c>
      <x:c r="D168" s="12" t="n">
        <x:v>0.95</x:v>
      </x:c>
      <x:c r="E168" s="12" t="n">
        <x:v>0.35</x:v>
      </x:c>
      <x:c r="F168" s="12" t="n">
        <x:v>0.45</x:v>
      </x:c>
      <x:c r="G168" s="12" t="n">
        <x:v>0.55</x:v>
      </x:c>
    </x:row>
    <x:row r="169">
      <x:c r="A169" t="n">
        <x:v>9</x:v>
      </x:c>
      <x:c r="B169" t="n">
        <x:v>4</x:v>
      </x:c>
      <x:c r="C169" s="12" t="n">
        <x:v>1</x:v>
      </x:c>
      <x:c r="D169" s="12" t="n">
        <x:v>0.25</x:v>
      </x:c>
      <x:c r="E169" s="12" t="n">
        <x:v>1</x:v>
      </x:c>
      <x:c r="F169" s="12" t="n">
        <x:v>0.45</x:v>
      </x:c>
      <x:c r="G169" s="12" t="n">
        <x:v>0.55</x:v>
      </x:c>
    </x:row>
    <x:row r="170">
      <x:c r="A170" t="n">
        <x:v>9</x:v>
      </x:c>
      <x:c r="B170" t="n">
        <x:v>5</x:v>
      </x:c>
      <x:c r="C170" s="12" t="n">
        <x:v>0.15</x:v>
      </x:c>
      <x:c r="D170" s="12" t="n">
        <x:v>0.25</x:v>
      </x:c>
      <x:c r="E170" s="12" t="n">
        <x:v>0.35</x:v>
      </x:c>
      <x:c r="F170" s="12" t="n">
        <x:v>0.98</x:v>
      </x:c>
      <x:c r="G170" s="12" t="n">
        <x:v>0.55</x:v>
      </x:c>
    </x:row>
    <x:row r="171">
      <x:c r="A171" t="n">
        <x:v>9</x:v>
      </x:c>
      <x:c r="B171" t="n">
        <x:v>6</x:v>
      </x:c>
      <x:c r="C171" s="12" t="n">
        <x:v>1</x:v>
      </x:c>
      <x:c r="D171" s="12" t="n">
        <x:v>0.95</x:v>
      </x:c>
      <x:c r="E171" s="12" t="n">
        <x:v>0.35</x:v>
      </x:c>
      <x:c r="F171" s="12" t="n">
        <x:v>0.45</x:v>
      </x:c>
      <x:c r="G171" s="12" t="n">
        <x:v>1</x:v>
      </x:c>
    </x:row>
    <x:row r="172">
      <x:c r="A172" t="n">
        <x:v>9</x:v>
      </x:c>
      <x:c r="B172" t="n">
        <x:v>7</x:v>
      </x:c>
      <x:c r="C172" s="12" t="n">
        <x:v>0.05</x:v>
      </x:c>
      <x:c r="D172" s="12" t="n">
        <x:v>0.1</x:v>
      </x:c>
      <x:c r="E172" s="12" t="n">
        <x:v>0.15</x:v>
      </x:c>
      <x:c r="F172" s="12" t="n">
        <x:v>0.2</x:v>
      </x:c>
      <x:c r="G172" s="12" t="n">
        <x:v>0.25</x:v>
      </x:c>
    </x:row>
    <x:row r="173">
      <x:c r="A173" t="n">
        <x:v>9</x:v>
      </x:c>
      <x:c r="B173" t="n">
        <x:v>8</x:v>
      </x:c>
      <x:c r="C173" s="12" t="n">
        <x:v>1</x:v>
      </x:c>
      <x:c r="D173" s="12" t="n">
        <x:v>0.25</x:v>
      </x:c>
      <x:c r="E173" s="12" t="n">
        <x:v>1</x:v>
      </x:c>
      <x:c r="F173" s="12" t="n">
        <x:v>0.45</x:v>
      </x:c>
      <x:c r="G173" s="12" t="n">
        <x:v>0.55</x:v>
      </x:c>
    </x:row>
    <x:row r="174">
      <x:c r="A174" t="n">
        <x:v>9</x:v>
      </x:c>
      <x:c r="B174" t="n">
        <x:v>9</x:v>
      </x:c>
      <x:c r="C174" s="12" t="n">
        <x:v>0.15</x:v>
      </x:c>
      <x:c r="D174" s="12" t="n">
        <x:v>0.95</x:v>
      </x:c>
      <x:c r="E174" s="12" t="n">
        <x:v>0.35</x:v>
      </x:c>
      <x:c r="F174" s="12" t="n">
        <x:v>0.45</x:v>
      </x:c>
      <x:c r="G174" s="12" t="n">
        <x:v>0.55</x:v>
      </x:c>
    </x:row>
    <x:row r="175">
      <x:c r="A175" t="n">
        <x:v>9</x:v>
      </x:c>
      <x:c r="B175" t="n">
        <x:v>10</x:v>
      </x:c>
      <x:c r="C175" s="12" t="n">
        <x:v>1</x:v>
      </x:c>
      <x:c r="D175" s="12" t="n">
        <x:v>0.25</x:v>
      </x:c>
      <x:c r="E175" s="12" t="n">
        <x:v>0.35</x:v>
      </x:c>
      <x:c r="F175" s="12" t="n">
        <x:v>0.98</x:v>
      </x:c>
      <x:c r="G175" s="12" t="n">
        <x:v>0.55</x:v>
      </x:c>
    </x:row>
    <x:row r="176">
      <x:c r="A176" t="n">
        <x:v>9</x:v>
      </x:c>
      <x:c r="B176" t="n">
        <x:v>11</x:v>
      </x:c>
      <x:c r="C176" s="12" t="n">
        <x:v>0.15</x:v>
      </x:c>
      <x:c r="D176" s="12" t="n">
        <x:v>0.25</x:v>
      </x:c>
      <x:c r="E176" s="12" t="n">
        <x:v>0.35</x:v>
      </x:c>
      <x:c r="F176" s="12" t="n">
        <x:v>0.45</x:v>
      </x:c>
      <x:c r="G176" s="12" t="n">
        <x:v>0.55</x:v>
      </x:c>
    </x:row>
    <x:row r="177">
      <x:c r="A177" t="n">
        <x:v>9</x:v>
      </x:c>
      <x:c r="B177" t="n">
        <x:v>12</x:v>
      </x:c>
      <x:c r="C177" s="12" t="n">
        <x:v>1</x:v>
      </x:c>
      <x:c r="D177" s="12" t="n">
        <x:v>0.95</x:v>
      </x:c>
      <x:c r="E177" s="12" t="n">
        <x:v>1</x:v>
      </x:c>
      <x:c r="F177" s="12" t="n">
        <x:v>0.45</x:v>
      </x:c>
      <x:c r="G177" s="12" t="n">
        <x:v>1</x:v>
      </x:c>
    </x:row>
    <x:row r="178">
      <x:c r="A178" t="n">
        <x:v>9</x:v>
      </x:c>
      <x:c r="B178" t="n">
        <x:v>13</x:v>
      </x:c>
      <x:c r="C178" s="12" t="n">
        <x:v>0.05</x:v>
      </x:c>
      <x:c r="D178" s="12" t="n">
        <x:v>0.1</x:v>
      </x:c>
      <x:c r="E178" s="12" t="n">
        <x:v>0.15</x:v>
      </x:c>
      <x:c r="F178" s="12" t="n">
        <x:v>0.2</x:v>
      </x:c>
      <x:c r="G178" s="12" t="n">
        <x:v>0.25</x:v>
      </x:c>
    </x:row>
    <x:row r="179">
      <x:c r="A179" t="n">
        <x:v>9</x:v>
      </x:c>
      <x:c r="B179" t="n">
        <x:v>14</x:v>
      </x:c>
      <x:c r="C179" s="12" t="n">
        <x:v>1</x:v>
      </x:c>
      <x:c r="D179" s="12" t="n">
        <x:v>0.25</x:v>
      </x:c>
      <x:c r="E179" s="12" t="n">
        <x:v>0.35</x:v>
      </x:c>
      <x:c r="F179" s="12" t="n">
        <x:v>0.45</x:v>
      </x:c>
      <x:c r="G179" s="12" t="n">
        <x:v>0.55</x:v>
      </x:c>
    </x:row>
    <x:row r="180">
      <x:c r="A180" t="n">
        <x:v>9</x:v>
      </x:c>
      <x:c r="B180" t="n">
        <x:v>15</x:v>
      </x:c>
      <x:c r="C180" s="12" t="n">
        <x:v>0.15</x:v>
      </x:c>
      <x:c r="D180" s="12" t="n">
        <x:v>0.95</x:v>
      </x:c>
      <x:c r="E180" s="12" t="n">
        <x:v>0.35</x:v>
      </x:c>
      <x:c r="F180" s="12" t="n">
        <x:v>0.98</x:v>
      </x:c>
      <x:c r="G180" s="12" t="n">
        <x:v>0.55</x:v>
      </x:c>
    </x:row>
    <x:row r="181">
      <x:c r="A181" t="n">
        <x:v>9</x:v>
      </x:c>
      <x:c r="B181" t="n">
        <x:v>16</x:v>
      </x:c>
      <x:c r="C181" s="12" t="n">
        <x:v>1</x:v>
      </x:c>
      <x:c r="D181" s="12" t="n">
        <x:v>0.25</x:v>
      </x:c>
      <x:c r="E181" s="12" t="n">
        <x:v>1</x:v>
      </x:c>
      <x:c r="F181" s="12" t="n">
        <x:v>0.45</x:v>
      </x:c>
      <x:c r="G181" s="12" t="n">
        <x:v>0.55</x:v>
      </x:c>
    </x:row>
    <x:row r="182">
      <x:c r="A182" t="n">
        <x:v>9</x:v>
      </x:c>
      <x:c r="B182" t="n">
        <x:v>17</x:v>
      </x:c>
      <x:c r="C182" s="12" t="n">
        <x:v>0.15</x:v>
      </x:c>
      <x:c r="D182" s="12" t="n">
        <x:v>0.25</x:v>
      </x:c>
      <x:c r="E182" s="12" t="n">
        <x:v>0.35</x:v>
      </x:c>
      <x:c r="F182" s="12" t="n">
        <x:v>0.45</x:v>
      </x:c>
      <x:c r="G182" s="12" t="n">
        <x:v>0.55</x:v>
      </x:c>
    </x:row>
    <x:row r="183">
      <x:c r="A183" t="n">
        <x:v>9</x:v>
      </x:c>
      <x:c r="B183" t="n">
        <x:v>18</x:v>
      </x:c>
      <x:c r="C183" s="12" t="n">
        <x:v>1</x:v>
      </x:c>
      <x:c r="D183" s="12" t="n">
        <x:v>0.95</x:v>
      </x:c>
      <x:c r="E183" s="12" t="n">
        <x:v>0.35</x:v>
      </x:c>
      <x:c r="F183" s="12" t="n">
        <x:v>0.45</x:v>
      </x:c>
      <x:c r="G183" s="12" t="n">
        <x:v>1</x:v>
      </x:c>
    </x:row>
    <x:row r="184">
      <x:c r="A184" t="n">
        <x:v>9</x:v>
      </x:c>
      <x:c r="B184" t="n">
        <x:v>19</x:v>
      </x:c>
      <x:c r="C184" s="12" t="n">
        <x:v>0.05</x:v>
      </x:c>
      <x:c r="D184" s="12" t="n">
        <x:v>0.1</x:v>
      </x:c>
      <x:c r="E184" s="12" t="n">
        <x:v>0.15</x:v>
      </x:c>
      <x:c r="F184" s="12" t="n">
        <x:v>0.2</x:v>
      </x:c>
      <x:c r="G184" s="12" t="n">
        <x:v>0.25</x:v>
      </x:c>
    </x:row>
    <x:row r="185">
      <x:c r="A185" t="n">
        <x:v>9</x:v>
      </x:c>
      <x:c r="B185" t="n">
        <x:v>20</x:v>
      </x:c>
      <x:c r="C185" s="12" t="n">
        <x:v>1</x:v>
      </x:c>
      <x:c r="D185" s="12" t="n">
        <x:v>0.25</x:v>
      </x:c>
      <x:c r="E185" s="12" t="n">
        <x:v>1</x:v>
      </x:c>
      <x:c r="F185" s="12" t="n">
        <x:v>0.98</x:v>
      </x:c>
      <x:c r="G185" s="12" t="n">
        <x:v>0.55</x:v>
      </x:c>
    </x:row>
    <x:row r="186">
      <x:c r="A186" t="n">
        <x:v>10</x:v>
      </x:c>
      <x:c r="B186" t="n">
        <x:v>1</x:v>
      </x:c>
      <x:c r="C186" s="12" t="n">
        <x:v>0.1</x:v>
      </x:c>
      <x:c r="D186" s="12" t="n">
        <x:v>1</x:v>
      </x:c>
      <x:c r="E186" s="12" t="n">
        <x:v>0.1</x:v>
      </x:c>
      <x:c r="F186" s="12" t="n">
        <x:v>1</x:v>
      </x:c>
      <x:c r="G186" s="12" t="n">
        <x:v>0.1</x:v>
      </x:c>
    </x:row>
    <x:row r="187">
      <x:c r="A187" t="n">
        <x:v>10</x:v>
      </x:c>
      <x:c r="B187" t="n">
        <x:v>2</x:v>
      </x:c>
      <x:c r="C187" s="12" t="n">
        <x:v>1</x:v>
      </x:c>
      <x:c r="D187" s="12" t="n">
        <x:v>0.1</x:v>
      </x:c>
      <x:c r="E187" s="12" t="n">
        <x:v>1</x:v>
      </x:c>
      <x:c r="F187" s="12" t="n">
        <x:v>0.1</x:v>
      </x:c>
      <x:c r="G187" s="12" t="n">
        <x:v>1</x:v>
      </x:c>
    </x:row>
    <x:row r="188">
      <x:c r="A188" t="n">
        <x:v>10</x:v>
      </x:c>
      <x:c r="B188" t="n">
        <x:v>3</x:v>
      </x:c>
      <x:c r="C188" s="12" t="n">
        <x:v>0.1</x:v>
      </x:c>
      <x:c r="D188" s="12" t="n">
        <x:v>1</x:v>
      </x:c>
      <x:c r="E188" s="12" t="n">
        <x:v>0.1</x:v>
      </x:c>
      <x:c r="F188" s="12" t="n">
        <x:v>1</x:v>
      </x:c>
      <x:c r="G188" s="12" t="n">
        <x:v>0.1</x:v>
      </x:c>
    </x:row>
    <x:row r="189">
      <x:c r="A189" t="n">
        <x:v>10</x:v>
      </x:c>
      <x:c r="B189" t="n">
        <x:v>4</x:v>
      </x:c>
      <x:c r="C189" s="12" t="n">
        <x:v>1</x:v>
      </x:c>
      <x:c r="D189" s="12" t="n">
        <x:v>0.1</x:v>
      </x:c>
      <x:c r="E189" s="12" t="n">
        <x:v>1</x:v>
      </x:c>
      <x:c r="F189" s="12" t="n">
        <x:v>0.1</x:v>
      </x:c>
      <x:c r="G189" s="12" t="n">
        <x:v>1</x:v>
      </x:c>
    </x:row>
    <x:row r="190">
      <x:c r="A190" t="n">
        <x:v>10</x:v>
      </x:c>
      <x:c r="B190" t="n">
        <x:v>5</x:v>
      </x:c>
      <x:c r="C190" s="12" t="n">
        <x:v>1</x:v>
      </x:c>
      <x:c r="D190" s="12" t="n">
        <x:v>1</x:v>
      </x:c>
      <x:c r="E190" s="12" t="n">
        <x:v>1</x:v>
      </x:c>
      <x:c r="F190" s="12" t="n">
        <x:v>1</x:v>
      </x:c>
      <x:c r="G190" s="12" t="n">
        <x:v>1</x:v>
      </x:c>
    </x:row>
    <x:row r="191">
      <x:c r="A191" t="n">
        <x:v>10</x:v>
      </x:c>
      <x:c r="B191" t="n">
        <x:v>6</x:v>
      </x:c>
      <x:c r="C191" s="12" t="n">
        <x:v>1</x:v>
      </x:c>
      <x:c r="D191" s="12" t="n">
        <x:v>0.1</x:v>
      </x:c>
      <x:c r="E191" s="12" t="n">
        <x:v>1</x:v>
      </x:c>
      <x:c r="F191" s="12" t="n">
        <x:v>0.1</x:v>
      </x:c>
      <x:c r="G191" s="12" t="n">
        <x:v>1</x:v>
      </x:c>
    </x:row>
    <x:row r="192">
      <x:c r="A192" t="n">
        <x:v>10</x:v>
      </x:c>
      <x:c r="B192" t="n">
        <x:v>7</x:v>
      </x:c>
      <x:c r="C192" s="12" t="n">
        <x:v>0.1</x:v>
      </x:c>
      <x:c r="D192" s="12" t="n">
        <x:v>1</x:v>
      </x:c>
      <x:c r="E192" s="12" t="n">
        <x:v>0.1</x:v>
      </x:c>
      <x:c r="F192" s="12" t="n">
        <x:v>1</x:v>
      </x:c>
      <x:c r="G192" s="12" t="n">
        <x:v>0.1</x:v>
      </x:c>
    </x:row>
    <x:row r="193">
      <x:c r="A193" t="n">
        <x:v>10</x:v>
      </x:c>
      <x:c r="B193" t="n">
        <x:v>8</x:v>
      </x:c>
      <x:c r="C193" s="12" t="n">
        <x:v>1</x:v>
      </x:c>
      <x:c r="D193" s="12" t="n">
        <x:v>0.1</x:v>
      </x:c>
      <x:c r="E193" s="12" t="n">
        <x:v>1</x:v>
      </x:c>
      <x:c r="F193" s="12" t="n">
        <x:v>0.1</x:v>
      </x:c>
      <x:c r="G193" s="12" t="n">
        <x:v>1</x:v>
      </x:c>
    </x:row>
    <x:row r="194">
      <x:c r="A194" t="n">
        <x:v>10</x:v>
      </x:c>
      <x:c r="B194" t="n">
        <x:v>9</x:v>
      </x:c>
      <x:c r="C194" s="12" t="n">
        <x:v>0.1</x:v>
      </x:c>
      <x:c r="D194" s="12" t="n">
        <x:v>1</x:v>
      </x:c>
      <x:c r="E194" s="12" t="n">
        <x:v>0.1</x:v>
      </x:c>
      <x:c r="F194" s="12" t="n">
        <x:v>1</x:v>
      </x:c>
      <x:c r="G194" s="12" t="n">
        <x:v>0.1</x:v>
      </x:c>
    </x:row>
    <x:row r="195">
      <x:c r="A195" t="n">
        <x:v>10</x:v>
      </x:c>
      <x:c r="B195" t="n">
        <x:v>10</x:v>
      </x:c>
      <x:c r="C195" s="12" t="n">
        <x:v>1</x:v>
      </x:c>
      <x:c r="D195" s="12" t="n">
        <x:v>1</x:v>
      </x:c>
      <x:c r="E195" s="12" t="n">
        <x:v>1</x:v>
      </x:c>
      <x:c r="F195" s="12" t="n">
        <x:v>1</x:v>
      </x:c>
      <x:c r="G195" s="12" t="n">
        <x:v>1</x:v>
      </x:c>
    </x:row>
    <x:row r="196">
      <x:c r="A196" t="n">
        <x:v>10</x:v>
      </x:c>
      <x:c r="B196" t="n">
        <x:v>11</x:v>
      </x:c>
      <x:c r="C196" s="12" t="n">
        <x:v>0.1</x:v>
      </x:c>
      <x:c r="D196" s="12" t="n">
        <x:v>1</x:v>
      </x:c>
      <x:c r="E196" s="12" t="n">
        <x:v>0.1</x:v>
      </x:c>
      <x:c r="F196" s="12" t="n">
        <x:v>1</x:v>
      </x:c>
      <x:c r="G196" s="12" t="n">
        <x:v>0.1</x:v>
      </x:c>
    </x:row>
    <x:row r="197">
      <x:c r="A197" t="n">
        <x:v>10</x:v>
      </x:c>
      <x:c r="B197" t="n">
        <x:v>12</x:v>
      </x:c>
      <x:c r="C197" s="12" t="n">
        <x:v>1</x:v>
      </x:c>
      <x:c r="D197" s="12" t="n">
        <x:v>0.1</x:v>
      </x:c>
      <x:c r="E197" s="12" t="n">
        <x:v>1</x:v>
      </x:c>
      <x:c r="F197" s="12" t="n">
        <x:v>0.1</x:v>
      </x:c>
      <x:c r="G197" s="12" t="n">
        <x:v>1</x:v>
      </x:c>
    </x:row>
    <x:row r="198">
      <x:c r="A198" t="n">
        <x:v>10</x:v>
      </x:c>
      <x:c r="B198" t="n">
        <x:v>13</x:v>
      </x:c>
      <x:c r="C198" s="12" t="n">
        <x:v>0.1</x:v>
      </x:c>
      <x:c r="D198" s="12" t="n">
        <x:v>1</x:v>
      </x:c>
      <x:c r="E198" s="12" t="n">
        <x:v>0.1</x:v>
      </x:c>
      <x:c r="F198" s="12" t="n">
        <x:v>1</x:v>
      </x:c>
      <x:c r="G198" s="12" t="n">
        <x:v>0.1</x:v>
      </x:c>
    </x:row>
    <x:row r="199">
      <x:c r="A199" t="n">
        <x:v>10</x:v>
      </x:c>
      <x:c r="B199" t="n">
        <x:v>14</x:v>
      </x:c>
      <x:c r="C199" s="12" t="n">
        <x:v>1</x:v>
      </x:c>
      <x:c r="D199" s="12" t="n">
        <x:v>0.1</x:v>
      </x:c>
      <x:c r="E199" s="12" t="n">
        <x:v>1</x:v>
      </x:c>
      <x:c r="F199" s="12" t="n">
        <x:v>0.1</x:v>
      </x:c>
      <x:c r="G199" s="12" t="n">
        <x:v>1</x:v>
      </x:c>
    </x:row>
    <x:row r="200">
      <x:c r="A200" t="n">
        <x:v>10</x:v>
      </x:c>
      <x:c r="B200" t="n">
        <x:v>15</x:v>
      </x:c>
      <x:c r="C200" s="12" t="n">
        <x:v>1</x:v>
      </x:c>
      <x:c r="D200" s="12" t="n">
        <x:v>1</x:v>
      </x:c>
      <x:c r="E200" s="12" t="n">
        <x:v>1</x:v>
      </x:c>
      <x:c r="F200" s="12" t="n">
        <x:v>1</x:v>
      </x:c>
      <x:c r="G200" s="12" t="n">
        <x:v>1</x:v>
      </x:c>
    </x:row>
    <x:row r="201">
      <x:c r="A201" t="n">
        <x:v>10</x:v>
      </x:c>
      <x:c r="B201" t="n">
        <x:v>16</x:v>
      </x:c>
      <x:c r="C201" s="12" t="n">
        <x:v>1</x:v>
      </x:c>
      <x:c r="D201" s="12" t="n">
        <x:v>0.1</x:v>
      </x:c>
      <x:c r="E201" s="12" t="n">
        <x:v>1</x:v>
      </x:c>
      <x:c r="F201" s="12" t="n">
        <x:v>0.1</x:v>
      </x:c>
      <x:c r="G201" s="12" t="n">
        <x:v>1</x:v>
      </x:c>
    </x:row>
    <x:row r="202">
      <x:c r="A202" t="n">
        <x:v>10</x:v>
      </x:c>
      <x:c r="B202" t="n">
        <x:v>17</x:v>
      </x:c>
      <x:c r="C202" s="12" t="n">
        <x:v>0.1</x:v>
      </x:c>
      <x:c r="D202" s="12" t="n">
        <x:v>1</x:v>
      </x:c>
      <x:c r="E202" s="12" t="n">
        <x:v>0.1</x:v>
      </x:c>
      <x:c r="F202" s="12" t="n">
        <x:v>1</x:v>
      </x:c>
      <x:c r="G202" s="12" t="n">
        <x:v>0.1</x:v>
      </x:c>
    </x:row>
    <x:row r="203">
      <x:c r="A203" t="n">
        <x:v>10</x:v>
      </x:c>
      <x:c r="B203" t="n">
        <x:v>18</x:v>
      </x:c>
      <x:c r="C203" s="12" t="n">
        <x:v>1</x:v>
      </x:c>
      <x:c r="D203" s="12" t="n">
        <x:v>0.1</x:v>
      </x:c>
      <x:c r="E203" s="12" t="n">
        <x:v>1</x:v>
      </x:c>
      <x:c r="F203" s="12" t="n">
        <x:v>0.1</x:v>
      </x:c>
      <x:c r="G203" s="12" t="n">
        <x:v>1</x:v>
      </x:c>
    </x:row>
    <x:row r="204">
      <x:c r="A204" t="n">
        <x:v>10</x:v>
      </x:c>
      <x:c r="B204" t="n">
        <x:v>19</x:v>
      </x:c>
      <x:c r="C204" s="12" t="n">
        <x:v>0.1</x:v>
      </x:c>
      <x:c r="D204" s="12" t="n">
        <x:v>1</x:v>
      </x:c>
      <x:c r="E204" s="12" t="n">
        <x:v>0.1</x:v>
      </x:c>
      <x:c r="F204" s="12" t="n">
        <x:v>1</x:v>
      </x:c>
      <x:c r="G204" s="12" t="n">
        <x:v>0.1</x:v>
      </x:c>
    </x:row>
    <x:row r="205">
      <x:c r="A205" t="n">
        <x:v>10</x:v>
      </x:c>
      <x:c r="B205" t="n">
        <x:v>20</x:v>
      </x:c>
      <x:c r="C205" s="12" t="n">
        <x:v>1</x:v>
      </x:c>
      <x:c r="D205" s="12" t="n">
        <x:v>1</x:v>
      </x:c>
      <x:c r="E205" s="12" t="n">
        <x:v>1</x:v>
      </x:c>
      <x:c r="F205" s="12" t="n">
        <x:v>1</x:v>
      </x:c>
      <x:c r="G205" s="12" t="n">
        <x:v>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670000076293945" hidden="0" customWidth="1"/>
    <x:col min="2" max="2" width="4.670000076293945" hidden="0" customWidth="1"/>
    <x:col min="3" max="3" width="4.670000076293945" hidden="0" customWidth="1"/>
    <x:col min="4" max="4" width="4.670000076293945" hidden="0" customWidth="1"/>
    <x:col min="5" max="5" width="4.670000076293945" hidden="0" customWidth="1"/>
    <x:col min="6" max="6" width="4.670000076293945" hidden="0" customWidth="1"/>
    <x:col min="7" max="7" width="4.670000076293945" hidden="0" customWidth="1"/>
  </x:cols>
  <x:sheetData>
    <x:row r="1" ht="19.5" customHeight="1">
      <x:c r="A1" s="4" t="str">
        <x:v>02a n</x:v>
      </x:c>
      <x:c r="B1" s="4" t="str">
        <x:v>02a n</x:v>
      </x:c>
      <x:c r="C1" s="4" t="str">
        <x:v>02a n</x:v>
      </x:c>
      <x:c r="D1" s="4" t="str">
        <x:v>02a n</x:v>
      </x:c>
      <x:c r="E1" s="4" t="str">
        <x:v>02a n</x:v>
      </x:c>
      <x:c r="F1" s="4" t="str">
        <x:v>02a n</x:v>
      </x:c>
      <x:c r="G1" s="4" t="str">
        <x:v>02a n</x:v>
      </x:c>
    </x:row>
    <x:row r="2" ht="18" customHeight="1">
      <x:c r="A2" s="6" t="str">
        <x:v>Current tick only. Each sense outputs 1 when its value equals 1, otherwise 0.</x:v>
      </x:c>
      <x:c r="B2" s="6" t="str">
        <x:v>Current tick only. Each sense outputs 1 when its value equals 1, otherwise 0.</x:v>
      </x:c>
      <x:c r="C2" s="6" t="str">
        <x:v>Current tick only. Each sense outputs 1 when its value equals 1, otherwise 0.</x:v>
      </x:c>
      <x:c r="D2" s="6" t="str">
        <x:v>Current tick only. Each sense outputs 1 when its value equals 1, otherwise 0.</x:v>
      </x:c>
      <x:c r="E2" s="6" t="str">
        <x:v>Current tick only. Each sense outputs 1 when its value equals 1, otherwise 0.</x:v>
      </x:c>
      <x:c r="F2" s="6" t="str">
        <x:v>Current tick only. Each sense outputs 1 when its value equals 1, otherwise 0.</x:v>
      </x:c>
      <x:c r="G2" s="6" t="str">
        <x:v>Current tick only. Each sense outputs 1 when its value equals 1, otherwise 0.</x:v>
      </x:c>
    </x:row>
    <x:row r="3">
      <x:c r="A3" t="str">
        <x:v>n</x:v>
      </x:c>
      <x:c r="B3" t="n">
        <x:v>1</x:v>
      </x:c>
    </x:row>
    <x:row r="5">
      <x:c r="A5" s="9" t="str">
        <x:v>sample</x:v>
      </x:c>
      <x:c r="B5" s="10" t="str">
        <x:v>tick</x:v>
      </x:c>
      <x:c r="C5" s="10" t="str">
        <x:v>b</x:v>
      </x:c>
      <x:c r="D5" s="10" t="str">
        <x:v>v</x:v>
      </x:c>
      <x:c r="E5" s="10" t="str">
        <x:v>to</x:v>
      </x:c>
      <x:c r="F5" s="10" t="str">
        <x:v>ta</x:v>
      </x:c>
      <x:c r="G5" s="11" t="str">
        <x:v>s</x:v>
      </x:c>
    </x:row>
    <x:row r="6">
      <x:c r="A6" t="n">
        <x:f>'01 Sensory Input'!A6</x:f>
        <x:v>1</x:v>
      </x:c>
      <x:c r="B6" t="n">
        <x:f>'01 Sensory Input'!B6</x:f>
        <x:v>1</x:v>
      </x:c>
      <x:c r="C6" t="n">
        <x:f>--('01 Sensory Input'!C6=$B$3)</x:f>
        <x:v>0</x:v>
      </x:c>
      <x:c r="D6" t="n">
        <x:f>--('01 Sensory Input'!D6=$B$3)</x:f>
        <x:v>0</x:v>
      </x:c>
      <x:c r="E6" t="n">
        <x:f>--('01 Sensory Input'!E6=$B$3)</x:f>
        <x:v>0</x:v>
      </x:c>
      <x:c r="F6" t="n">
        <x:f>--('01 Sensory Input'!F6=$B$3)</x:f>
        <x:v>0</x:v>
      </x:c>
      <x:c r="G6" t="n">
        <x:f>--('01 Sensory Input'!G6=$B$3)</x:f>
        <x:v>0</x:v>
      </x:c>
    </x:row>
    <x:row r="7">
      <x:c r="A7" t="n">
        <x:f>'01 Sensory Input'!A7</x:f>
        <x:v>1</x:v>
      </x:c>
      <x:c r="B7" t="n">
        <x:f>'01 Sensory Input'!B7</x:f>
        <x:v>2</x:v>
      </x:c>
      <x:c r="C7" t="n">
        <x:f>--('01 Sensory Input'!C7=$B$3)</x:f>
        <x:v>0</x:v>
      </x:c>
      <x:c r="D7" t="n">
        <x:f>--('01 Sensory Input'!D7=$B$3)</x:f>
        <x:v>0</x:v>
      </x:c>
      <x:c r="E7" t="n">
        <x:f>--('01 Sensory Input'!E7=$B$3)</x:f>
        <x:v>0</x:v>
      </x:c>
      <x:c r="F7" t="n">
        <x:f>--('01 Sensory Input'!F7=$B$3)</x:f>
        <x:v>0</x:v>
      </x:c>
      <x:c r="G7" t="n">
        <x:f>--('01 Sensory Input'!G7=$B$3)</x:f>
        <x:v>0</x:v>
      </x:c>
    </x:row>
    <x:row r="8">
      <x:c r="A8" t="n">
        <x:f>'01 Sensory Input'!A8</x:f>
        <x:v>1</x:v>
      </x:c>
      <x:c r="B8" t="n">
        <x:f>'01 Sensory Input'!B8</x:f>
        <x:v>3</x:v>
      </x:c>
      <x:c r="C8" t="n">
        <x:f>--('01 Sensory Input'!C8=$B$3)</x:f>
        <x:v>0</x:v>
      </x:c>
      <x:c r="D8" t="n">
        <x:f>--('01 Sensory Input'!D8=$B$3)</x:f>
        <x:v>0</x:v>
      </x:c>
      <x:c r="E8" t="n">
        <x:f>--('01 Sensory Input'!E8=$B$3)</x:f>
        <x:v>0</x:v>
      </x:c>
      <x:c r="F8" t="n">
        <x:f>--('01 Sensory Input'!F8=$B$3)</x:f>
        <x:v>0</x:v>
      </x:c>
      <x:c r="G8" t="n">
        <x:f>--('01 Sensory Input'!G8=$B$3)</x:f>
        <x:v>0</x:v>
      </x:c>
    </x:row>
    <x:row r="9">
      <x:c r="A9" t="n">
        <x:f>'01 Sensory Input'!A9</x:f>
        <x:v>1</x:v>
      </x:c>
      <x:c r="B9" t="n">
        <x:f>'01 Sensory Input'!B9</x:f>
        <x:v>4</x:v>
      </x:c>
      <x:c r="C9" t="n">
        <x:f>--('01 Sensory Input'!C9=$B$3)</x:f>
        <x:v>0</x:v>
      </x:c>
      <x:c r="D9" t="n">
        <x:f>--('01 Sensory Input'!D9=$B$3)</x:f>
        <x:v>0</x:v>
      </x:c>
      <x:c r="E9" t="n">
        <x:f>--('01 Sensory Input'!E9=$B$3)</x:f>
        <x:v>0</x:v>
      </x:c>
      <x:c r="F9" t="n">
        <x:f>--('01 Sensory Input'!F9=$B$3)</x:f>
        <x:v>0</x:v>
      </x:c>
      <x:c r="G9" t="n">
        <x:f>--('01 Sensory Input'!G9=$B$3)</x:f>
        <x:v>0</x:v>
      </x:c>
    </x:row>
    <x:row r="10">
      <x:c r="A10" t="n">
        <x:f>'01 Sensory Input'!A10</x:f>
        <x:v>1</x:v>
      </x:c>
      <x:c r="B10" t="n">
        <x:f>'01 Sensory Input'!B10</x:f>
        <x:v>5</x:v>
      </x:c>
      <x:c r="C10" t="n">
        <x:f>--('01 Sensory Input'!C10=$B$3)</x:f>
        <x:v>0</x:v>
      </x:c>
      <x:c r="D10" t="n">
        <x:f>--('01 Sensory Input'!D10=$B$3)</x:f>
        <x:v>0</x:v>
      </x:c>
      <x:c r="E10" t="n">
        <x:f>--('01 Sensory Input'!E10=$B$3)</x:f>
        <x:v>0</x:v>
      </x:c>
      <x:c r="F10" t="n">
        <x:f>--('01 Sensory Input'!F10=$B$3)</x:f>
        <x:v>0</x:v>
      </x:c>
      <x:c r="G10" t="n">
        <x:f>--('01 Sensory Input'!G10=$B$3)</x:f>
        <x:v>0</x:v>
      </x:c>
    </x:row>
    <x:row r="11">
      <x:c r="A11" t="n">
        <x:f>'01 Sensory Input'!A11</x:f>
        <x:v>1</x:v>
      </x:c>
      <x:c r="B11" t="n">
        <x:f>'01 Sensory Input'!B11</x:f>
        <x:v>6</x:v>
      </x:c>
      <x:c r="C11" t="n">
        <x:f>--('01 Sensory Input'!C11=$B$3)</x:f>
        <x:v>0</x:v>
      </x:c>
      <x:c r="D11" t="n">
        <x:f>--('01 Sensory Input'!D11=$B$3)</x:f>
        <x:v>0</x:v>
      </x:c>
      <x:c r="E11" t="n">
        <x:f>--('01 Sensory Input'!E11=$B$3)</x:f>
        <x:v>0</x:v>
      </x:c>
      <x:c r="F11" t="n">
        <x:f>--('01 Sensory Input'!F11=$B$3)</x:f>
        <x:v>0</x:v>
      </x:c>
      <x:c r="G11" t="n">
        <x:f>--('01 Sensory Input'!G11=$B$3)</x:f>
        <x:v>0</x:v>
      </x:c>
    </x:row>
    <x:row r="12">
      <x:c r="A12" t="n">
        <x:f>'01 Sensory Input'!A12</x:f>
        <x:v>1</x:v>
      </x:c>
      <x:c r="B12" t="n">
        <x:f>'01 Sensory Input'!B12</x:f>
        <x:v>7</x:v>
      </x:c>
      <x:c r="C12" t="n">
        <x:f>--('01 Sensory Input'!C12=$B$3)</x:f>
        <x:v>0</x:v>
      </x:c>
      <x:c r="D12" t="n">
        <x:f>--('01 Sensory Input'!D12=$B$3)</x:f>
        <x:v>0</x:v>
      </x:c>
      <x:c r="E12" t="n">
        <x:f>--('01 Sensory Input'!E12=$B$3)</x:f>
        <x:v>0</x:v>
      </x:c>
      <x:c r="F12" t="n">
        <x:f>--('01 Sensory Input'!F12=$B$3)</x:f>
        <x:v>0</x:v>
      </x:c>
      <x:c r="G12" t="n">
        <x:f>--('01 Sensory Input'!G12=$B$3)</x:f>
        <x:v>0</x:v>
      </x:c>
    </x:row>
    <x:row r="13">
      <x:c r="A13" t="n">
        <x:f>'01 Sensory Input'!A13</x:f>
        <x:v>1</x:v>
      </x:c>
      <x:c r="B13" t="n">
        <x:f>'01 Sensory Input'!B13</x:f>
        <x:v>8</x:v>
      </x:c>
      <x:c r="C13" t="n">
        <x:f>--('01 Sensory Input'!C13=$B$3)</x:f>
        <x:v>0</x:v>
      </x:c>
      <x:c r="D13" t="n">
        <x:f>--('01 Sensory Input'!D13=$B$3)</x:f>
        <x:v>0</x:v>
      </x:c>
      <x:c r="E13" t="n">
        <x:f>--('01 Sensory Input'!E13=$B$3)</x:f>
        <x:v>0</x:v>
      </x:c>
      <x:c r="F13" t="n">
        <x:f>--('01 Sensory Input'!F13=$B$3)</x:f>
        <x:v>0</x:v>
      </x:c>
      <x:c r="G13" t="n">
        <x:f>--('01 Sensory Input'!G13=$B$3)</x:f>
        <x:v>0</x:v>
      </x:c>
    </x:row>
    <x:row r="14">
      <x:c r="A14" t="n">
        <x:f>'01 Sensory Input'!A14</x:f>
        <x:v>1</x:v>
      </x:c>
      <x:c r="B14" t="n">
        <x:f>'01 Sensory Input'!B14</x:f>
        <x:v>9</x:v>
      </x:c>
      <x:c r="C14" t="n">
        <x:f>--('01 Sensory Input'!C14=$B$3)</x:f>
        <x:v>0</x:v>
      </x:c>
      <x:c r="D14" t="n">
        <x:f>--('01 Sensory Input'!D14=$B$3)</x:f>
        <x:v>0</x:v>
      </x:c>
      <x:c r="E14" t="n">
        <x:f>--('01 Sensory Input'!E14=$B$3)</x:f>
        <x:v>0</x:v>
      </x:c>
      <x:c r="F14" t="n">
        <x:f>--('01 Sensory Input'!F14=$B$3)</x:f>
        <x:v>0</x:v>
      </x:c>
      <x:c r="G14" t="n">
        <x:f>--('01 Sensory Input'!G14=$B$3)</x:f>
        <x:v>0</x:v>
      </x:c>
    </x:row>
    <x:row r="15">
      <x:c r="A15" t="n">
        <x:f>'01 Sensory Input'!A15</x:f>
        <x:v>1</x:v>
      </x:c>
      <x:c r="B15" t="n">
        <x:f>'01 Sensory Input'!B15</x:f>
        <x:v>10</x:v>
      </x:c>
      <x:c r="C15" t="n">
        <x:f>--('01 Sensory Input'!C15=$B$3)</x:f>
        <x:v>0</x:v>
      </x:c>
      <x:c r="D15" t="n">
        <x:f>--('01 Sensory Input'!D15=$B$3)</x:f>
        <x:v>0</x:v>
      </x:c>
      <x:c r="E15" t="n">
        <x:f>--('01 Sensory Input'!E15=$B$3)</x:f>
        <x:v>0</x:v>
      </x:c>
      <x:c r="F15" t="n">
        <x:f>--('01 Sensory Input'!F15=$B$3)</x:f>
        <x:v>0</x:v>
      </x:c>
      <x:c r="G15" t="n">
        <x:f>--('01 Sensory Input'!G15=$B$3)</x:f>
        <x:v>0</x:v>
      </x:c>
    </x:row>
    <x:row r="16">
      <x:c r="A16" t="n">
        <x:f>'01 Sensory Input'!A16</x:f>
        <x:v>1</x:v>
      </x:c>
      <x:c r="B16" t="n">
        <x:f>'01 Sensory Input'!B16</x:f>
        <x:v>11</x:v>
      </x:c>
      <x:c r="C16" t="n">
        <x:f>--('01 Sensory Input'!C16=$B$3)</x:f>
        <x:v>0</x:v>
      </x:c>
      <x:c r="D16" t="n">
        <x:f>--('01 Sensory Input'!D16=$B$3)</x:f>
        <x:v>0</x:v>
      </x:c>
      <x:c r="E16" t="n">
        <x:f>--('01 Sensory Input'!E16=$B$3)</x:f>
        <x:v>0</x:v>
      </x:c>
      <x:c r="F16" t="n">
        <x:f>--('01 Sensory Input'!F16=$B$3)</x:f>
        <x:v>0</x:v>
      </x:c>
      <x:c r="G16" t="n">
        <x:f>--('01 Sensory Input'!G16=$B$3)</x:f>
        <x:v>0</x:v>
      </x:c>
    </x:row>
    <x:row r="17">
      <x:c r="A17" t="n">
        <x:f>'01 Sensory Input'!A17</x:f>
        <x:v>1</x:v>
      </x:c>
      <x:c r="B17" t="n">
        <x:f>'01 Sensory Input'!B17</x:f>
        <x:v>12</x:v>
      </x:c>
      <x:c r="C17" t="n">
        <x:f>--('01 Sensory Input'!C17=$B$3)</x:f>
        <x:v>0</x:v>
      </x:c>
      <x:c r="D17" t="n">
        <x:f>--('01 Sensory Input'!D17=$B$3)</x:f>
        <x:v>0</x:v>
      </x:c>
      <x:c r="E17" t="n">
        <x:f>--('01 Sensory Input'!E17=$B$3)</x:f>
        <x:v>0</x:v>
      </x:c>
      <x:c r="F17" t="n">
        <x:f>--('01 Sensory Input'!F17=$B$3)</x:f>
        <x:v>0</x:v>
      </x:c>
      <x:c r="G17" t="n">
        <x:f>--('01 Sensory Input'!G17=$B$3)</x:f>
        <x:v>0</x:v>
      </x:c>
    </x:row>
    <x:row r="18">
      <x:c r="A18" t="n">
        <x:f>'01 Sensory Input'!A18</x:f>
        <x:v>1</x:v>
      </x:c>
      <x:c r="B18" t="n">
        <x:f>'01 Sensory Input'!B18</x:f>
        <x:v>13</x:v>
      </x:c>
      <x:c r="C18" t="n">
        <x:f>--('01 Sensory Input'!C18=$B$3)</x:f>
        <x:v>0</x:v>
      </x:c>
      <x:c r="D18" t="n">
        <x:f>--('01 Sensory Input'!D18=$B$3)</x:f>
        <x:v>0</x:v>
      </x:c>
      <x:c r="E18" t="n">
        <x:f>--('01 Sensory Input'!E18=$B$3)</x:f>
        <x:v>0</x:v>
      </x:c>
      <x:c r="F18" t="n">
        <x:f>--('01 Sensory Input'!F18=$B$3)</x:f>
        <x:v>0</x:v>
      </x:c>
      <x:c r="G18" t="n">
        <x:f>--('01 Sensory Input'!G18=$B$3)</x:f>
        <x:v>0</x:v>
      </x:c>
    </x:row>
    <x:row r="19">
      <x:c r="A19" t="n">
        <x:f>'01 Sensory Input'!A19</x:f>
        <x:v>1</x:v>
      </x:c>
      <x:c r="B19" t="n">
        <x:f>'01 Sensory Input'!B19</x:f>
        <x:v>14</x:v>
      </x:c>
      <x:c r="C19" t="n">
        <x:f>--('01 Sensory Input'!C19=$B$3)</x:f>
        <x:v>0</x:v>
      </x:c>
      <x:c r="D19" t="n">
        <x:f>--('01 Sensory Input'!D19=$B$3)</x:f>
        <x:v>0</x:v>
      </x:c>
      <x:c r="E19" t="n">
        <x:f>--('01 Sensory Input'!E19=$B$3)</x:f>
        <x:v>0</x:v>
      </x:c>
      <x:c r="F19" t="n">
        <x:f>--('01 Sensory Input'!F19=$B$3)</x:f>
        <x:v>0</x:v>
      </x:c>
      <x:c r="G19" t="n">
        <x:f>--('01 Sensory Input'!G19=$B$3)</x:f>
        <x:v>0</x:v>
      </x:c>
    </x:row>
    <x:row r="20">
      <x:c r="A20" t="n">
        <x:f>'01 Sensory Input'!A20</x:f>
        <x:v>1</x:v>
      </x:c>
      <x:c r="B20" t="n">
        <x:f>'01 Sensory Input'!B20</x:f>
        <x:v>15</x:v>
      </x:c>
      <x:c r="C20" t="n">
        <x:f>--('01 Sensory Input'!C20=$B$3)</x:f>
        <x:v>0</x:v>
      </x:c>
      <x:c r="D20" t="n">
        <x:f>--('01 Sensory Input'!D20=$B$3)</x:f>
        <x:v>0</x:v>
      </x:c>
      <x:c r="E20" t="n">
        <x:f>--('01 Sensory Input'!E20=$B$3)</x:f>
        <x:v>0</x:v>
      </x:c>
      <x:c r="F20" t="n">
        <x:f>--('01 Sensory Input'!F20=$B$3)</x:f>
        <x:v>0</x:v>
      </x:c>
      <x:c r="G20" t="n">
        <x:f>--('01 Sensory Input'!G20=$B$3)</x:f>
        <x:v>0</x:v>
      </x:c>
    </x:row>
    <x:row r="21">
      <x:c r="A21" t="n">
        <x:f>'01 Sensory Input'!A21</x:f>
        <x:v>1</x:v>
      </x:c>
      <x:c r="B21" t="n">
        <x:f>'01 Sensory Input'!B21</x:f>
        <x:v>16</x:v>
      </x:c>
      <x:c r="C21" t="n">
        <x:f>--('01 Sensory Input'!C21=$B$3)</x:f>
        <x:v>0</x:v>
      </x:c>
      <x:c r="D21" t="n">
        <x:f>--('01 Sensory Input'!D21=$B$3)</x:f>
        <x:v>0</x:v>
      </x:c>
      <x:c r="E21" t="n">
        <x:f>--('01 Sensory Input'!E21=$B$3)</x:f>
        <x:v>0</x:v>
      </x:c>
      <x:c r="F21" t="n">
        <x:f>--('01 Sensory Input'!F21=$B$3)</x:f>
        <x:v>0</x:v>
      </x:c>
      <x:c r="G21" t="n">
        <x:f>--('01 Sensory Input'!G21=$B$3)</x:f>
        <x:v>0</x:v>
      </x:c>
    </x:row>
    <x:row r="22">
      <x:c r="A22" t="n">
        <x:f>'01 Sensory Input'!A22</x:f>
        <x:v>1</x:v>
      </x:c>
      <x:c r="B22" t="n">
        <x:f>'01 Sensory Input'!B22</x:f>
        <x:v>17</x:v>
      </x:c>
      <x:c r="C22" t="n">
        <x:f>--('01 Sensory Input'!C22=$B$3)</x:f>
        <x:v>0</x:v>
      </x:c>
      <x:c r="D22" t="n">
        <x:f>--('01 Sensory Input'!D22=$B$3)</x:f>
        <x:v>0</x:v>
      </x:c>
      <x:c r="E22" t="n">
        <x:f>--('01 Sensory Input'!E22=$B$3)</x:f>
        <x:v>0</x:v>
      </x:c>
      <x:c r="F22" t="n">
        <x:f>--('01 Sensory Input'!F22=$B$3)</x:f>
        <x:v>0</x:v>
      </x:c>
      <x:c r="G22" t="n">
        <x:f>--('01 Sensory Input'!G22=$B$3)</x:f>
        <x:v>0</x:v>
      </x:c>
    </x:row>
    <x:row r="23">
      <x:c r="A23" t="n">
        <x:f>'01 Sensory Input'!A23</x:f>
        <x:v>1</x:v>
      </x:c>
      <x:c r="B23" t="n">
        <x:f>'01 Sensory Input'!B23</x:f>
        <x:v>18</x:v>
      </x:c>
      <x:c r="C23" t="n">
        <x:f>--('01 Sensory Input'!C23=$B$3)</x:f>
        <x:v>0</x:v>
      </x:c>
      <x:c r="D23" t="n">
        <x:f>--('01 Sensory Input'!D23=$B$3)</x:f>
        <x:v>0</x:v>
      </x:c>
      <x:c r="E23" t="n">
        <x:f>--('01 Sensory Input'!E23=$B$3)</x:f>
        <x:v>0</x:v>
      </x:c>
      <x:c r="F23" t="n">
        <x:f>--('01 Sensory Input'!F23=$B$3)</x:f>
        <x:v>0</x:v>
      </x:c>
      <x:c r="G23" t="n">
        <x:f>--('01 Sensory Input'!G23=$B$3)</x:f>
        <x:v>0</x:v>
      </x:c>
    </x:row>
    <x:row r="24">
      <x:c r="A24" t="n">
        <x:f>'01 Sensory Input'!A24</x:f>
        <x:v>1</x:v>
      </x:c>
      <x:c r="B24" t="n">
        <x:f>'01 Sensory Input'!B24</x:f>
        <x:v>19</x:v>
      </x:c>
      <x:c r="C24" t="n">
        <x:f>--('01 Sensory Input'!C24=$B$3)</x:f>
        <x:v>0</x:v>
      </x:c>
      <x:c r="D24" t="n">
        <x:f>--('01 Sensory Input'!D24=$B$3)</x:f>
        <x:v>0</x:v>
      </x:c>
      <x:c r="E24" t="n">
        <x:f>--('01 Sensory Input'!E24=$B$3)</x:f>
        <x:v>0</x:v>
      </x:c>
      <x:c r="F24" t="n">
        <x:f>--('01 Sensory Input'!F24=$B$3)</x:f>
        <x:v>0</x:v>
      </x:c>
      <x:c r="G24" t="n">
        <x:f>--('01 Sensory Input'!G24=$B$3)</x:f>
        <x:v>0</x:v>
      </x:c>
    </x:row>
    <x:row r="25">
      <x:c r="A25" t="n">
        <x:f>'01 Sensory Input'!A25</x:f>
        <x:v>1</x:v>
      </x:c>
      <x:c r="B25" t="n">
        <x:f>'01 Sensory Input'!B25</x:f>
        <x:v>20</x:v>
      </x:c>
      <x:c r="C25" t="n">
        <x:f>--('01 Sensory Input'!C25=$B$3)</x:f>
        <x:v>0</x:v>
      </x:c>
      <x:c r="D25" t="n">
        <x:f>--('01 Sensory Input'!D25=$B$3)</x:f>
        <x:v>0</x:v>
      </x:c>
      <x:c r="E25" t="n">
        <x:f>--('01 Sensory Input'!E25=$B$3)</x:f>
        <x:v>0</x:v>
      </x:c>
      <x:c r="F25" t="n">
        <x:f>--('01 Sensory Input'!F25=$B$3)</x:f>
        <x:v>0</x:v>
      </x:c>
      <x:c r="G25" t="n">
        <x:f>--('01 Sensory Input'!G25=$B$3)</x:f>
        <x:v>0</x:v>
      </x:c>
    </x:row>
    <x:row r="26">
      <x:c r="A26" t="n">
        <x:f>'01 Sensory Input'!A26</x:f>
        <x:v>2</x:v>
      </x:c>
      <x:c r="B26" t="n">
        <x:f>'01 Sensory Input'!B26</x:f>
        <x:v>1</x:v>
      </x:c>
      <x:c r="C26" t="n">
        <x:f>--('01 Sensory Input'!C26=$B$3)</x:f>
        <x:v>0</x:v>
      </x:c>
      <x:c r="D26" t="n">
        <x:f>--('01 Sensory Input'!D26=$B$3)</x:f>
        <x:v>0</x:v>
      </x:c>
      <x:c r="E26" t="n">
        <x:f>--('01 Sensory Input'!E26=$B$3)</x:f>
        <x:v>0</x:v>
      </x:c>
      <x:c r="F26" t="n">
        <x:f>--('01 Sensory Input'!F26=$B$3)</x:f>
        <x:v>0</x:v>
      </x:c>
      <x:c r="G26" t="n">
        <x:f>--('01 Sensory Input'!G26=$B$3)</x:f>
        <x:v>0</x:v>
      </x:c>
    </x:row>
    <x:row r="27">
      <x:c r="A27" t="n">
        <x:f>'01 Sensory Input'!A27</x:f>
        <x:v>2</x:v>
      </x:c>
      <x:c r="B27" t="n">
        <x:f>'01 Sensory Input'!B27</x:f>
        <x:v>2</x:v>
      </x:c>
      <x:c r="C27" t="n">
        <x:f>--('01 Sensory Input'!C27=$B$3)</x:f>
        <x:v>0</x:v>
      </x:c>
      <x:c r="D27" t="n">
        <x:f>--('01 Sensory Input'!D27=$B$3)</x:f>
        <x:v>0</x:v>
      </x:c>
      <x:c r="E27" t="n">
        <x:f>--('01 Sensory Input'!E27=$B$3)</x:f>
        <x:v>0</x:v>
      </x:c>
      <x:c r="F27" t="n">
        <x:f>--('01 Sensory Input'!F27=$B$3)</x:f>
        <x:v>0</x:v>
      </x:c>
      <x:c r="G27" t="n">
        <x:f>--('01 Sensory Input'!G27=$B$3)</x:f>
        <x:v>0</x:v>
      </x:c>
    </x:row>
    <x:row r="28">
      <x:c r="A28" t="n">
        <x:f>'01 Sensory Input'!A28</x:f>
        <x:v>2</x:v>
      </x:c>
      <x:c r="B28" t="n">
        <x:f>'01 Sensory Input'!B28</x:f>
        <x:v>3</x:v>
      </x:c>
      <x:c r="C28" t="n">
        <x:f>--('01 Sensory Input'!C28=$B$3)</x:f>
        <x:v>0</x:v>
      </x:c>
      <x:c r="D28" t="n">
        <x:f>--('01 Sensory Input'!D28=$B$3)</x:f>
        <x:v>0</x:v>
      </x:c>
      <x:c r="E28" t="n">
        <x:f>--('01 Sensory Input'!E28=$B$3)</x:f>
        <x:v>0</x:v>
      </x:c>
      <x:c r="F28" t="n">
        <x:f>--('01 Sensory Input'!F28=$B$3)</x:f>
        <x:v>0</x:v>
      </x:c>
      <x:c r="G28" t="n">
        <x:f>--('01 Sensory Input'!G28=$B$3)</x:f>
        <x:v>0</x:v>
      </x:c>
    </x:row>
    <x:row r="29">
      <x:c r="A29" t="n">
        <x:f>'01 Sensory Input'!A29</x:f>
        <x:v>2</x:v>
      </x:c>
      <x:c r="B29" t="n">
        <x:f>'01 Sensory Input'!B29</x:f>
        <x:v>4</x:v>
      </x:c>
      <x:c r="C29" t="n">
        <x:f>--('01 Sensory Input'!C29=$B$3)</x:f>
        <x:v>0</x:v>
      </x:c>
      <x:c r="D29" t="n">
        <x:f>--('01 Sensory Input'!D29=$B$3)</x:f>
        <x:v>0</x:v>
      </x:c>
      <x:c r="E29" t="n">
        <x:f>--('01 Sensory Input'!E29=$B$3)</x:f>
        <x:v>0</x:v>
      </x:c>
      <x:c r="F29" t="n">
        <x:f>--('01 Sensory Input'!F29=$B$3)</x:f>
        <x:v>0</x:v>
      </x:c>
      <x:c r="G29" t="n">
        <x:f>--('01 Sensory Input'!G29=$B$3)</x:f>
        <x:v>0</x:v>
      </x:c>
    </x:row>
    <x:row r="30">
      <x:c r="A30" t="n">
        <x:f>'01 Sensory Input'!A30</x:f>
        <x:v>2</x:v>
      </x:c>
      <x:c r="B30" t="n">
        <x:f>'01 Sensory Input'!B30</x:f>
        <x:v>5</x:v>
      </x:c>
      <x:c r="C30" t="n">
        <x:f>--('01 Sensory Input'!C30=$B$3)</x:f>
        <x:v>0</x:v>
      </x:c>
      <x:c r="D30" t="n">
        <x:f>--('01 Sensory Input'!D30=$B$3)</x:f>
        <x:v>0</x:v>
      </x:c>
      <x:c r="E30" t="n">
        <x:f>--('01 Sensory Input'!E30=$B$3)</x:f>
        <x:v>0</x:v>
      </x:c>
      <x:c r="F30" t="n">
        <x:f>--('01 Sensory Input'!F30=$B$3)</x:f>
        <x:v>0</x:v>
      </x:c>
      <x:c r="G30" t="n">
        <x:f>--('01 Sensory Input'!G30=$B$3)</x:f>
        <x:v>0</x:v>
      </x:c>
    </x:row>
    <x:row r="31">
      <x:c r="A31" t="n">
        <x:f>'01 Sensory Input'!A31</x:f>
        <x:v>2</x:v>
      </x:c>
      <x:c r="B31" t="n">
        <x:f>'01 Sensory Input'!B31</x:f>
        <x:v>6</x:v>
      </x:c>
      <x:c r="C31" t="n">
        <x:f>--('01 Sensory Input'!C31=$B$3)</x:f>
        <x:v>0</x:v>
      </x:c>
      <x:c r="D31" t="n">
        <x:f>--('01 Sensory Input'!D31=$B$3)</x:f>
        <x:v>0</x:v>
      </x:c>
      <x:c r="E31" t="n">
        <x:f>--('01 Sensory Input'!E31=$B$3)</x:f>
        <x:v>0</x:v>
      </x:c>
      <x:c r="F31" t="n">
        <x:f>--('01 Sensory Input'!F31=$B$3)</x:f>
        <x:v>0</x:v>
      </x:c>
      <x:c r="G31" t="n">
        <x:f>--('01 Sensory Input'!G31=$B$3)</x:f>
        <x:v>0</x:v>
      </x:c>
    </x:row>
    <x:row r="32">
      <x:c r="A32" t="n">
        <x:f>'01 Sensory Input'!A32</x:f>
        <x:v>2</x:v>
      </x:c>
      <x:c r="B32" t="n">
        <x:f>'01 Sensory Input'!B32</x:f>
        <x:v>7</x:v>
      </x:c>
      <x:c r="C32" t="n">
        <x:f>--('01 Sensory Input'!C32=$B$3)</x:f>
        <x:v>0</x:v>
      </x:c>
      <x:c r="D32" t="n">
        <x:f>--('01 Sensory Input'!D32=$B$3)</x:f>
        <x:v>0</x:v>
      </x:c>
      <x:c r="E32" t="n">
        <x:f>--('01 Sensory Input'!E32=$B$3)</x:f>
        <x:v>0</x:v>
      </x:c>
      <x:c r="F32" t="n">
        <x:f>--('01 Sensory Input'!F32=$B$3)</x:f>
        <x:v>0</x:v>
      </x:c>
      <x:c r="G32" t="n">
        <x:f>--('01 Sensory Input'!G32=$B$3)</x:f>
        <x:v>0</x:v>
      </x:c>
    </x:row>
    <x:row r="33">
      <x:c r="A33" t="n">
        <x:f>'01 Sensory Input'!A33</x:f>
        <x:v>2</x:v>
      </x:c>
      <x:c r="B33" t="n">
        <x:f>'01 Sensory Input'!B33</x:f>
        <x:v>8</x:v>
      </x:c>
      <x:c r="C33" t="n">
        <x:f>--('01 Sensory Input'!C33=$B$3)</x:f>
        <x:v>0</x:v>
      </x:c>
      <x:c r="D33" t="n">
        <x:f>--('01 Sensory Input'!D33=$B$3)</x:f>
        <x:v>0</x:v>
      </x:c>
      <x:c r="E33" t="n">
        <x:f>--('01 Sensory Input'!E33=$B$3)</x:f>
        <x:v>0</x:v>
      </x:c>
      <x:c r="F33" t="n">
        <x:f>--('01 Sensory Input'!F33=$B$3)</x:f>
        <x:v>0</x:v>
      </x:c>
      <x:c r="G33" t="n">
        <x:f>--('01 Sensory Input'!G33=$B$3)</x:f>
        <x:v>0</x:v>
      </x:c>
    </x:row>
    <x:row r="34">
      <x:c r="A34" t="n">
        <x:f>'01 Sensory Input'!A34</x:f>
        <x:v>2</x:v>
      </x:c>
      <x:c r="B34" t="n">
        <x:f>'01 Sensory Input'!B34</x:f>
        <x:v>9</x:v>
      </x:c>
      <x:c r="C34" t="n">
        <x:f>--('01 Sensory Input'!C34=$B$3)</x:f>
        <x:v>0</x:v>
      </x:c>
      <x:c r="D34" t="n">
        <x:f>--('01 Sensory Input'!D34=$B$3)</x:f>
        <x:v>0</x:v>
      </x:c>
      <x:c r="E34" t="n">
        <x:f>--('01 Sensory Input'!E34=$B$3)</x:f>
        <x:v>0</x:v>
      </x:c>
      <x:c r="F34" t="n">
        <x:f>--('01 Sensory Input'!F34=$B$3)</x:f>
        <x:v>0</x:v>
      </x:c>
      <x:c r="G34" t="n">
        <x:f>--('01 Sensory Input'!G34=$B$3)</x:f>
        <x:v>0</x:v>
      </x:c>
    </x:row>
    <x:row r="35">
      <x:c r="A35" t="n">
        <x:f>'01 Sensory Input'!A35</x:f>
        <x:v>2</x:v>
      </x:c>
      <x:c r="B35" t="n">
        <x:f>'01 Sensory Input'!B35</x:f>
        <x:v>10</x:v>
      </x:c>
      <x:c r="C35" t="n">
        <x:f>--('01 Sensory Input'!C35=$B$3)</x:f>
        <x:v>0</x:v>
      </x:c>
      <x:c r="D35" t="n">
        <x:f>--('01 Sensory Input'!D35=$B$3)</x:f>
        <x:v>0</x:v>
      </x:c>
      <x:c r="E35" t="n">
        <x:f>--('01 Sensory Input'!E35=$B$3)</x:f>
        <x:v>0</x:v>
      </x:c>
      <x:c r="F35" t="n">
        <x:f>--('01 Sensory Input'!F35=$B$3)</x:f>
        <x:v>0</x:v>
      </x:c>
      <x:c r="G35" t="n">
        <x:f>--('01 Sensory Input'!G35=$B$3)</x:f>
        <x:v>0</x:v>
      </x:c>
    </x:row>
    <x:row r="36">
      <x:c r="A36" t="n">
        <x:f>'01 Sensory Input'!A36</x:f>
        <x:v>2</x:v>
      </x:c>
      <x:c r="B36" t="n">
        <x:f>'01 Sensory Input'!B36</x:f>
        <x:v>11</x:v>
      </x:c>
      <x:c r="C36" t="n">
        <x:f>--('01 Sensory Input'!C36=$B$3)</x:f>
        <x:v>0</x:v>
      </x:c>
      <x:c r="D36" t="n">
        <x:f>--('01 Sensory Input'!D36=$B$3)</x:f>
        <x:v>0</x:v>
      </x:c>
      <x:c r="E36" t="n">
        <x:f>--('01 Sensory Input'!E36=$B$3)</x:f>
        <x:v>0</x:v>
      </x:c>
      <x:c r="F36" t="n">
        <x:f>--('01 Sensory Input'!F36=$B$3)</x:f>
        <x:v>0</x:v>
      </x:c>
      <x:c r="G36" t="n">
        <x:f>--('01 Sensory Input'!G36=$B$3)</x:f>
        <x:v>0</x:v>
      </x:c>
    </x:row>
    <x:row r="37">
      <x:c r="A37" t="n">
        <x:f>'01 Sensory Input'!A37</x:f>
        <x:v>2</x:v>
      </x:c>
      <x:c r="B37" t="n">
        <x:f>'01 Sensory Input'!B37</x:f>
        <x:v>12</x:v>
      </x:c>
      <x:c r="C37" t="n">
        <x:f>--('01 Sensory Input'!C37=$B$3)</x:f>
        <x:v>0</x:v>
      </x:c>
      <x:c r="D37" t="n">
        <x:f>--('01 Sensory Input'!D37=$B$3)</x:f>
        <x:v>0</x:v>
      </x:c>
      <x:c r="E37" t="n">
        <x:f>--('01 Sensory Input'!E37=$B$3)</x:f>
        <x:v>0</x:v>
      </x:c>
      <x:c r="F37" t="n">
        <x:f>--('01 Sensory Input'!F37=$B$3)</x:f>
        <x:v>0</x:v>
      </x:c>
      <x:c r="G37" t="n">
        <x:f>--('01 Sensory Input'!G37=$B$3)</x:f>
        <x:v>0</x:v>
      </x:c>
    </x:row>
    <x:row r="38">
      <x:c r="A38" t="n">
        <x:f>'01 Sensory Input'!A38</x:f>
        <x:v>2</x:v>
      </x:c>
      <x:c r="B38" t="n">
        <x:f>'01 Sensory Input'!B38</x:f>
        <x:v>13</x:v>
      </x:c>
      <x:c r="C38" t="n">
        <x:f>--('01 Sensory Input'!C38=$B$3)</x:f>
        <x:v>0</x:v>
      </x:c>
      <x:c r="D38" t="n">
        <x:f>--('01 Sensory Input'!D38=$B$3)</x:f>
        <x:v>0</x:v>
      </x:c>
      <x:c r="E38" t="n">
        <x:f>--('01 Sensory Input'!E38=$B$3)</x:f>
        <x:v>0</x:v>
      </x:c>
      <x:c r="F38" t="n">
        <x:f>--('01 Sensory Input'!F38=$B$3)</x:f>
        <x:v>0</x:v>
      </x:c>
      <x:c r="G38" t="n">
        <x:f>--('01 Sensory Input'!G38=$B$3)</x:f>
        <x:v>0</x:v>
      </x:c>
    </x:row>
    <x:row r="39">
      <x:c r="A39" t="n">
        <x:f>'01 Sensory Input'!A39</x:f>
        <x:v>2</x:v>
      </x:c>
      <x:c r="B39" t="n">
        <x:f>'01 Sensory Input'!B39</x:f>
        <x:v>14</x:v>
      </x:c>
      <x:c r="C39" t="n">
        <x:f>--('01 Sensory Input'!C39=$B$3)</x:f>
        <x:v>0</x:v>
      </x:c>
      <x:c r="D39" t="n">
        <x:f>--('01 Sensory Input'!D39=$B$3)</x:f>
        <x:v>0</x:v>
      </x:c>
      <x:c r="E39" t="n">
        <x:f>--('01 Sensory Input'!E39=$B$3)</x:f>
        <x:v>0</x:v>
      </x:c>
      <x:c r="F39" t="n">
        <x:f>--('01 Sensory Input'!F39=$B$3)</x:f>
        <x:v>0</x:v>
      </x:c>
      <x:c r="G39" t="n">
        <x:f>--('01 Sensory Input'!G39=$B$3)</x:f>
        <x:v>0</x:v>
      </x:c>
    </x:row>
    <x:row r="40">
      <x:c r="A40" t="n">
        <x:f>'01 Sensory Input'!A40</x:f>
        <x:v>2</x:v>
      </x:c>
      <x:c r="B40" t="n">
        <x:f>'01 Sensory Input'!B40</x:f>
        <x:v>15</x:v>
      </x:c>
      <x:c r="C40" t="n">
        <x:f>--('01 Sensory Input'!C40=$B$3)</x:f>
        <x:v>0</x:v>
      </x:c>
      <x:c r="D40" t="n">
        <x:f>--('01 Sensory Input'!D40=$B$3)</x:f>
        <x:v>0</x:v>
      </x:c>
      <x:c r="E40" t="n">
        <x:f>--('01 Sensory Input'!E40=$B$3)</x:f>
        <x:v>0</x:v>
      </x:c>
      <x:c r="F40" t="n">
        <x:f>--('01 Sensory Input'!F40=$B$3)</x:f>
        <x:v>0</x:v>
      </x:c>
      <x:c r="G40" t="n">
        <x:f>--('01 Sensory Input'!G40=$B$3)</x:f>
        <x:v>0</x:v>
      </x:c>
    </x:row>
    <x:row r="41">
      <x:c r="A41" t="n">
        <x:f>'01 Sensory Input'!A41</x:f>
        <x:v>2</x:v>
      </x:c>
      <x:c r="B41" t="n">
        <x:f>'01 Sensory Input'!B41</x:f>
        <x:v>16</x:v>
      </x:c>
      <x:c r="C41" t="n">
        <x:f>--('01 Sensory Input'!C41=$B$3)</x:f>
        <x:v>0</x:v>
      </x:c>
      <x:c r="D41" t="n">
        <x:f>--('01 Sensory Input'!D41=$B$3)</x:f>
        <x:v>0</x:v>
      </x:c>
      <x:c r="E41" t="n">
        <x:f>--('01 Sensory Input'!E41=$B$3)</x:f>
        <x:v>0</x:v>
      </x:c>
      <x:c r="F41" t="n">
        <x:f>--('01 Sensory Input'!F41=$B$3)</x:f>
        <x:v>0</x:v>
      </x:c>
      <x:c r="G41" t="n">
        <x:f>--('01 Sensory Input'!G41=$B$3)</x:f>
        <x:v>0</x:v>
      </x:c>
    </x:row>
    <x:row r="42">
      <x:c r="A42" t="n">
        <x:f>'01 Sensory Input'!A42</x:f>
        <x:v>2</x:v>
      </x:c>
      <x:c r="B42" t="n">
        <x:f>'01 Sensory Input'!B42</x:f>
        <x:v>17</x:v>
      </x:c>
      <x:c r="C42" t="n">
        <x:f>--('01 Sensory Input'!C42=$B$3)</x:f>
        <x:v>0</x:v>
      </x:c>
      <x:c r="D42" t="n">
        <x:f>--('01 Sensory Input'!D42=$B$3)</x:f>
        <x:v>0</x:v>
      </x:c>
      <x:c r="E42" t="n">
        <x:f>--('01 Sensory Input'!E42=$B$3)</x:f>
        <x:v>0</x:v>
      </x:c>
      <x:c r="F42" t="n">
        <x:f>--('01 Sensory Input'!F42=$B$3)</x:f>
        <x:v>0</x:v>
      </x:c>
      <x:c r="G42" t="n">
        <x:f>--('01 Sensory Input'!G42=$B$3)</x:f>
        <x:v>0</x:v>
      </x:c>
    </x:row>
    <x:row r="43">
      <x:c r="A43" t="n">
        <x:f>'01 Sensory Input'!A43</x:f>
        <x:v>2</x:v>
      </x:c>
      <x:c r="B43" t="n">
        <x:f>'01 Sensory Input'!B43</x:f>
        <x:v>18</x:v>
      </x:c>
      <x:c r="C43" t="n">
        <x:f>--('01 Sensory Input'!C43=$B$3)</x:f>
        <x:v>0</x:v>
      </x:c>
      <x:c r="D43" t="n">
        <x:f>--('01 Sensory Input'!D43=$B$3)</x:f>
        <x:v>0</x:v>
      </x:c>
      <x:c r="E43" t="n">
        <x:f>--('01 Sensory Input'!E43=$B$3)</x:f>
        <x:v>0</x:v>
      </x:c>
      <x:c r="F43" t="n">
        <x:f>--('01 Sensory Input'!F43=$B$3)</x:f>
        <x:v>0</x:v>
      </x:c>
      <x:c r="G43" t="n">
        <x:f>--('01 Sensory Input'!G43=$B$3)</x:f>
        <x:v>0</x:v>
      </x:c>
    </x:row>
    <x:row r="44">
      <x:c r="A44" t="n">
        <x:f>'01 Sensory Input'!A44</x:f>
        <x:v>2</x:v>
      </x:c>
      <x:c r="B44" t="n">
        <x:f>'01 Sensory Input'!B44</x:f>
        <x:v>19</x:v>
      </x:c>
      <x:c r="C44" t="n">
        <x:f>--('01 Sensory Input'!C44=$B$3)</x:f>
        <x:v>0</x:v>
      </x:c>
      <x:c r="D44" t="n">
        <x:f>--('01 Sensory Input'!D44=$B$3)</x:f>
        <x:v>0</x:v>
      </x:c>
      <x:c r="E44" t="n">
        <x:f>--('01 Sensory Input'!E44=$B$3)</x:f>
        <x:v>0</x:v>
      </x:c>
      <x:c r="F44" t="n">
        <x:f>--('01 Sensory Input'!F44=$B$3)</x:f>
        <x:v>0</x:v>
      </x:c>
      <x:c r="G44" t="n">
        <x:f>--('01 Sensory Input'!G44=$B$3)</x:f>
        <x:v>0</x:v>
      </x:c>
    </x:row>
    <x:row r="45">
      <x:c r="A45" t="n">
        <x:f>'01 Sensory Input'!A45</x:f>
        <x:v>2</x:v>
      </x:c>
      <x:c r="B45" t="n">
        <x:f>'01 Sensory Input'!B45</x:f>
        <x:v>20</x:v>
      </x:c>
      <x:c r="C45" t="n">
        <x:f>--('01 Sensory Input'!C45=$B$3)</x:f>
        <x:v>0</x:v>
      </x:c>
      <x:c r="D45" t="n">
        <x:f>--('01 Sensory Input'!D45=$B$3)</x:f>
        <x:v>0</x:v>
      </x:c>
      <x:c r="E45" t="n">
        <x:f>--('01 Sensory Input'!E45=$B$3)</x:f>
        <x:v>0</x:v>
      </x:c>
      <x:c r="F45" t="n">
        <x:f>--('01 Sensory Input'!F45=$B$3)</x:f>
        <x:v>0</x:v>
      </x:c>
      <x:c r="G45" t="n">
        <x:f>--('01 Sensory Input'!G45=$B$3)</x:f>
        <x:v>0</x:v>
      </x:c>
    </x:row>
    <x:row r="46">
      <x:c r="A46" t="n">
        <x:f>'01 Sensory Input'!A46</x:f>
        <x:v>3</x:v>
      </x:c>
      <x:c r="B46" t="n">
        <x:f>'01 Sensory Input'!B46</x:f>
        <x:v>1</x:v>
      </x:c>
      <x:c r="C46" t="n">
        <x:f>--('01 Sensory Input'!C46=$B$3)</x:f>
        <x:v>0</x:v>
      </x:c>
      <x:c r="D46" t="n">
        <x:f>--('01 Sensory Input'!D46=$B$3)</x:f>
        <x:v>0</x:v>
      </x:c>
      <x:c r="E46" t="n">
        <x:f>--('01 Sensory Input'!E46=$B$3)</x:f>
        <x:v>0</x:v>
      </x:c>
      <x:c r="F46" t="n">
        <x:f>--('01 Sensory Input'!F46=$B$3)</x:f>
        <x:v>0</x:v>
      </x:c>
      <x:c r="G46" t="n">
        <x:f>--('01 Sensory Input'!G46=$B$3)</x:f>
        <x:v>0</x:v>
      </x:c>
    </x:row>
    <x:row r="47">
      <x:c r="A47" t="n">
        <x:f>'01 Sensory Input'!A47</x:f>
        <x:v>3</x:v>
      </x:c>
      <x:c r="B47" t="n">
        <x:f>'01 Sensory Input'!B47</x:f>
        <x:v>2</x:v>
      </x:c>
      <x:c r="C47" t="n">
        <x:f>--('01 Sensory Input'!C47=$B$3)</x:f>
        <x:v>0</x:v>
      </x:c>
      <x:c r="D47" t="n">
        <x:f>--('01 Sensory Input'!D47=$B$3)</x:f>
        <x:v>0</x:v>
      </x:c>
      <x:c r="E47" t="n">
        <x:f>--('01 Sensory Input'!E47=$B$3)</x:f>
        <x:v>0</x:v>
      </x:c>
      <x:c r="F47" t="n">
        <x:f>--('01 Sensory Input'!F47=$B$3)</x:f>
        <x:v>0</x:v>
      </x:c>
      <x:c r="G47" t="n">
        <x:f>--('01 Sensory Input'!G47=$B$3)</x:f>
        <x:v>0</x:v>
      </x:c>
    </x:row>
    <x:row r="48">
      <x:c r="A48" t="n">
        <x:f>'01 Sensory Input'!A48</x:f>
        <x:v>3</x:v>
      </x:c>
      <x:c r="B48" t="n">
        <x:f>'01 Sensory Input'!B48</x:f>
        <x:v>3</x:v>
      </x:c>
      <x:c r="C48" t="n">
        <x:f>--('01 Sensory Input'!C48=$B$3)</x:f>
        <x:v>0</x:v>
      </x:c>
      <x:c r="D48" t="n">
        <x:f>--('01 Sensory Input'!D48=$B$3)</x:f>
        <x:v>0</x:v>
      </x:c>
      <x:c r="E48" t="n">
        <x:f>--('01 Sensory Input'!E48=$B$3)</x:f>
        <x:v>0</x:v>
      </x:c>
      <x:c r="F48" t="n">
        <x:f>--('01 Sensory Input'!F48=$B$3)</x:f>
        <x:v>0</x:v>
      </x:c>
      <x:c r="G48" t="n">
        <x:f>--('01 Sensory Input'!G48=$B$3)</x:f>
        <x:v>0</x:v>
      </x:c>
    </x:row>
    <x:row r="49">
      <x:c r="A49" t="n">
        <x:f>'01 Sensory Input'!A49</x:f>
        <x:v>3</x:v>
      </x:c>
      <x:c r="B49" t="n">
        <x:f>'01 Sensory Input'!B49</x:f>
        <x:v>4</x:v>
      </x:c>
      <x:c r="C49" t="n">
        <x:f>--('01 Sensory Input'!C49=$B$3)</x:f>
        <x:v>0</x:v>
      </x:c>
      <x:c r="D49" t="n">
        <x:f>--('01 Sensory Input'!D49=$B$3)</x:f>
        <x:v>0</x:v>
      </x:c>
      <x:c r="E49" t="n">
        <x:f>--('01 Sensory Input'!E49=$B$3)</x:f>
        <x:v>0</x:v>
      </x:c>
      <x:c r="F49" t="n">
        <x:f>--('01 Sensory Input'!F49=$B$3)</x:f>
        <x:v>0</x:v>
      </x:c>
      <x:c r="G49" t="n">
        <x:f>--('01 Sensory Input'!G49=$B$3)</x:f>
        <x:v>0</x:v>
      </x:c>
    </x:row>
    <x:row r="50">
      <x:c r="A50" t="n">
        <x:f>'01 Sensory Input'!A50</x:f>
        <x:v>3</x:v>
      </x:c>
      <x:c r="B50" t="n">
        <x:f>'01 Sensory Input'!B50</x:f>
        <x:v>5</x:v>
      </x:c>
      <x:c r="C50" t="n">
        <x:f>--('01 Sensory Input'!C50=$B$3)</x:f>
        <x:v>0</x:v>
      </x:c>
      <x:c r="D50" t="n">
        <x:f>--('01 Sensory Input'!D50=$B$3)</x:f>
        <x:v>0</x:v>
      </x:c>
      <x:c r="E50" t="n">
        <x:f>--('01 Sensory Input'!E50=$B$3)</x:f>
        <x:v>0</x:v>
      </x:c>
      <x:c r="F50" t="n">
        <x:f>--('01 Sensory Input'!F50=$B$3)</x:f>
        <x:v>0</x:v>
      </x:c>
      <x:c r="G50" t="n">
        <x:f>--('01 Sensory Input'!G50=$B$3)</x:f>
        <x:v>0</x:v>
      </x:c>
    </x:row>
    <x:row r="51">
      <x:c r="A51" t="n">
        <x:f>'01 Sensory Input'!A51</x:f>
        <x:v>3</x:v>
      </x:c>
      <x:c r="B51" t="n">
        <x:f>'01 Sensory Input'!B51</x:f>
        <x:v>6</x:v>
      </x:c>
      <x:c r="C51" t="n">
        <x:f>--('01 Sensory Input'!C51=$B$3)</x:f>
        <x:v>0</x:v>
      </x:c>
      <x:c r="D51" t="n">
        <x:f>--('01 Sensory Input'!D51=$B$3)</x:f>
        <x:v>0</x:v>
      </x:c>
      <x:c r="E51" t="n">
        <x:f>--('01 Sensory Input'!E51=$B$3)</x:f>
        <x:v>0</x:v>
      </x:c>
      <x:c r="F51" t="n">
        <x:f>--('01 Sensory Input'!F51=$B$3)</x:f>
        <x:v>0</x:v>
      </x:c>
      <x:c r="G51" t="n">
        <x:f>--('01 Sensory Input'!G51=$B$3)</x:f>
        <x:v>0</x:v>
      </x:c>
    </x:row>
    <x:row r="52">
      <x:c r="A52" t="n">
        <x:f>'01 Sensory Input'!A52</x:f>
        <x:v>3</x:v>
      </x:c>
      <x:c r="B52" t="n">
        <x:f>'01 Sensory Input'!B52</x:f>
        <x:v>7</x:v>
      </x:c>
      <x:c r="C52" t="n">
        <x:f>--('01 Sensory Input'!C52=$B$3)</x:f>
        <x:v>0</x:v>
      </x:c>
      <x:c r="D52" t="n">
        <x:f>--('01 Sensory Input'!D52=$B$3)</x:f>
        <x:v>0</x:v>
      </x:c>
      <x:c r="E52" t="n">
        <x:f>--('01 Sensory Input'!E52=$B$3)</x:f>
        <x:v>0</x:v>
      </x:c>
      <x:c r="F52" t="n">
        <x:f>--('01 Sensory Input'!F52=$B$3)</x:f>
        <x:v>0</x:v>
      </x:c>
      <x:c r="G52" t="n">
        <x:f>--('01 Sensory Input'!G52=$B$3)</x:f>
        <x:v>0</x:v>
      </x:c>
    </x:row>
    <x:row r="53">
      <x:c r="A53" t="n">
        <x:f>'01 Sensory Input'!A53</x:f>
        <x:v>3</x:v>
      </x:c>
      <x:c r="B53" t="n">
        <x:f>'01 Sensory Input'!B53</x:f>
        <x:v>8</x:v>
      </x:c>
      <x:c r="C53" t="n">
        <x:f>--('01 Sensory Input'!C53=$B$3)</x:f>
        <x:v>1</x:v>
      </x:c>
      <x:c r="D53" t="n">
        <x:f>--('01 Sensory Input'!D53=$B$3)</x:f>
        <x:v>0</x:v>
      </x:c>
      <x:c r="E53" t="n">
        <x:f>--('01 Sensory Input'!E53=$B$3)</x:f>
        <x:v>0</x:v>
      </x:c>
      <x:c r="F53" t="n">
        <x:f>--('01 Sensory Input'!F53=$B$3)</x:f>
        <x:v>0</x:v>
      </x:c>
      <x:c r="G53" t="n">
        <x:f>--('01 Sensory Input'!G53=$B$3)</x:f>
        <x:v>0</x:v>
      </x:c>
    </x:row>
    <x:row r="54">
      <x:c r="A54" t="n">
        <x:f>'01 Sensory Input'!A54</x:f>
        <x:v>3</x:v>
      </x:c>
      <x:c r="B54" t="n">
        <x:f>'01 Sensory Input'!B54</x:f>
        <x:v>9</x:v>
      </x:c>
      <x:c r="C54" t="n">
        <x:f>--('01 Sensory Input'!C54=$B$3)</x:f>
        <x:v>0</x:v>
      </x:c>
      <x:c r="D54" t="n">
        <x:f>--('01 Sensory Input'!D54=$B$3)</x:f>
        <x:v>0</x:v>
      </x:c>
      <x:c r="E54" t="n">
        <x:f>--('01 Sensory Input'!E54=$B$3)</x:f>
        <x:v>0</x:v>
      </x:c>
      <x:c r="F54" t="n">
        <x:f>--('01 Sensory Input'!F54=$B$3)</x:f>
        <x:v>0</x:v>
      </x:c>
      <x:c r="G54" t="n">
        <x:f>--('01 Sensory Input'!G54=$B$3)</x:f>
        <x:v>0</x:v>
      </x:c>
    </x:row>
    <x:row r="55">
      <x:c r="A55" t="n">
        <x:f>'01 Sensory Input'!A55</x:f>
        <x:v>3</x:v>
      </x:c>
      <x:c r="B55" t="n">
        <x:f>'01 Sensory Input'!B55</x:f>
        <x:v>10</x:v>
      </x:c>
      <x:c r="C55" t="n">
        <x:f>--('01 Sensory Input'!C55=$B$3)</x:f>
        <x:v>0</x:v>
      </x:c>
      <x:c r="D55" t="n">
        <x:f>--('01 Sensory Input'!D55=$B$3)</x:f>
        <x:v>0</x:v>
      </x:c>
      <x:c r="E55" t="n">
        <x:f>--('01 Sensory Input'!E55=$B$3)</x:f>
        <x:v>0</x:v>
      </x:c>
      <x:c r="F55" t="n">
        <x:f>--('01 Sensory Input'!F55=$B$3)</x:f>
        <x:v>0</x:v>
      </x:c>
      <x:c r="G55" t="n">
        <x:f>--('01 Sensory Input'!G55=$B$3)</x:f>
        <x:v>0</x:v>
      </x:c>
    </x:row>
    <x:row r="56">
      <x:c r="A56" t="n">
        <x:f>'01 Sensory Input'!A56</x:f>
        <x:v>3</x:v>
      </x:c>
      <x:c r="B56" t="n">
        <x:f>'01 Sensory Input'!B56</x:f>
        <x:v>11</x:v>
      </x:c>
      <x:c r="C56" t="n">
        <x:f>--('01 Sensory Input'!C56=$B$3)</x:f>
        <x:v>0</x:v>
      </x:c>
      <x:c r="D56" t="n">
        <x:f>--('01 Sensory Input'!D56=$B$3)</x:f>
        <x:v>0</x:v>
      </x:c>
      <x:c r="E56" t="n">
        <x:f>--('01 Sensory Input'!E56=$B$3)</x:f>
        <x:v>0</x:v>
      </x:c>
      <x:c r="F56" t="n">
        <x:f>--('01 Sensory Input'!F56=$B$3)</x:f>
        <x:v>0</x:v>
      </x:c>
      <x:c r="G56" t="n">
        <x:f>--('01 Sensory Input'!G56=$B$3)</x:f>
        <x:v>0</x:v>
      </x:c>
    </x:row>
    <x:row r="57">
      <x:c r="A57" t="n">
        <x:f>'01 Sensory Input'!A57</x:f>
        <x:v>3</x:v>
      </x:c>
      <x:c r="B57" t="n">
        <x:f>'01 Sensory Input'!B57</x:f>
        <x:v>12</x:v>
      </x:c>
      <x:c r="C57" t="n">
        <x:f>--('01 Sensory Input'!C57=$B$3)</x:f>
        <x:v>0</x:v>
      </x:c>
      <x:c r="D57" t="n">
        <x:f>--('01 Sensory Input'!D57=$B$3)</x:f>
        <x:v>0</x:v>
      </x:c>
      <x:c r="E57" t="n">
        <x:f>--('01 Sensory Input'!E57=$B$3)</x:f>
        <x:v>0</x:v>
      </x:c>
      <x:c r="F57" t="n">
        <x:f>--('01 Sensory Input'!F57=$B$3)</x:f>
        <x:v>0</x:v>
      </x:c>
      <x:c r="G57" t="n">
        <x:f>--('01 Sensory Input'!G57=$B$3)</x:f>
        <x:v>0</x:v>
      </x:c>
    </x:row>
    <x:row r="58">
      <x:c r="A58" t="n">
        <x:f>'01 Sensory Input'!A58</x:f>
        <x:v>3</x:v>
      </x:c>
      <x:c r="B58" t="n">
        <x:f>'01 Sensory Input'!B58</x:f>
        <x:v>13</x:v>
      </x:c>
      <x:c r="C58" t="n">
        <x:f>--('01 Sensory Input'!C58=$B$3)</x:f>
        <x:v>0</x:v>
      </x:c>
      <x:c r="D58" t="n">
        <x:f>--('01 Sensory Input'!D58=$B$3)</x:f>
        <x:v>0</x:v>
      </x:c>
      <x:c r="E58" t="n">
        <x:f>--('01 Sensory Input'!E58=$B$3)</x:f>
        <x:v>0</x:v>
      </x:c>
      <x:c r="F58" t="n">
        <x:f>--('01 Sensory Input'!F58=$B$3)</x:f>
        <x:v>0</x:v>
      </x:c>
      <x:c r="G58" t="n">
        <x:f>--('01 Sensory Input'!G58=$B$3)</x:f>
        <x:v>0</x:v>
      </x:c>
    </x:row>
    <x:row r="59">
      <x:c r="A59" t="n">
        <x:f>'01 Sensory Input'!A59</x:f>
        <x:v>3</x:v>
      </x:c>
      <x:c r="B59" t="n">
        <x:f>'01 Sensory Input'!B59</x:f>
        <x:v>14</x:v>
      </x:c>
      <x:c r="C59" t="n">
        <x:f>--('01 Sensory Input'!C59=$B$3)</x:f>
        <x:v>0</x:v>
      </x:c>
      <x:c r="D59" t="n">
        <x:f>--('01 Sensory Input'!D59=$B$3)</x:f>
        <x:v>0</x:v>
      </x:c>
      <x:c r="E59" t="n">
        <x:f>--('01 Sensory Input'!E59=$B$3)</x:f>
        <x:v>0</x:v>
      </x:c>
      <x:c r="F59" t="n">
        <x:f>--('01 Sensory Input'!F59=$B$3)</x:f>
        <x:v>0</x:v>
      </x:c>
      <x:c r="G59" t="n">
        <x:f>--('01 Sensory Input'!G59=$B$3)</x:f>
        <x:v>0</x:v>
      </x:c>
    </x:row>
    <x:row r="60">
      <x:c r="A60" t="n">
        <x:f>'01 Sensory Input'!A60</x:f>
        <x:v>3</x:v>
      </x:c>
      <x:c r="B60" t="n">
        <x:f>'01 Sensory Input'!B60</x:f>
        <x:v>15</x:v>
      </x:c>
      <x:c r="C60" t="n">
        <x:f>--('01 Sensory Input'!C60=$B$3)</x:f>
        <x:v>0</x:v>
      </x:c>
      <x:c r="D60" t="n">
        <x:f>--('01 Sensory Input'!D60=$B$3)</x:f>
        <x:v>0</x:v>
      </x:c>
      <x:c r="E60" t="n">
        <x:f>--('01 Sensory Input'!E60=$B$3)</x:f>
        <x:v>0</x:v>
      </x:c>
      <x:c r="F60" t="n">
        <x:f>--('01 Sensory Input'!F60=$B$3)</x:f>
        <x:v>0</x:v>
      </x:c>
      <x:c r="G60" t="n">
        <x:f>--('01 Sensory Input'!G60=$B$3)</x:f>
        <x:v>0</x:v>
      </x:c>
    </x:row>
    <x:row r="61">
      <x:c r="A61" t="n">
        <x:f>'01 Sensory Input'!A61</x:f>
        <x:v>3</x:v>
      </x:c>
      <x:c r="B61" t="n">
        <x:f>'01 Sensory Input'!B61</x:f>
        <x:v>16</x:v>
      </x:c>
      <x:c r="C61" t="n">
        <x:f>--('01 Sensory Input'!C61=$B$3)</x:f>
        <x:v>0</x:v>
      </x:c>
      <x:c r="D61" t="n">
        <x:f>--('01 Sensory Input'!D61=$B$3)</x:f>
        <x:v>0</x:v>
      </x:c>
      <x:c r="E61" t="n">
        <x:f>--('01 Sensory Input'!E61=$B$3)</x:f>
        <x:v>0</x:v>
      </x:c>
      <x:c r="F61" t="n">
        <x:f>--('01 Sensory Input'!F61=$B$3)</x:f>
        <x:v>0</x:v>
      </x:c>
      <x:c r="G61" t="n">
        <x:f>--('01 Sensory Input'!G61=$B$3)</x:f>
        <x:v>0</x:v>
      </x:c>
    </x:row>
    <x:row r="62">
      <x:c r="A62" t="n">
        <x:f>'01 Sensory Input'!A62</x:f>
        <x:v>3</x:v>
      </x:c>
      <x:c r="B62" t="n">
        <x:f>'01 Sensory Input'!B62</x:f>
        <x:v>17</x:v>
      </x:c>
      <x:c r="C62" t="n">
        <x:f>--('01 Sensory Input'!C62=$B$3)</x:f>
        <x:v>0</x:v>
      </x:c>
      <x:c r="D62" t="n">
        <x:f>--('01 Sensory Input'!D62=$B$3)</x:f>
        <x:v>0</x:v>
      </x:c>
      <x:c r="E62" t="n">
        <x:f>--('01 Sensory Input'!E62=$B$3)</x:f>
        <x:v>0</x:v>
      </x:c>
      <x:c r="F62" t="n">
        <x:f>--('01 Sensory Input'!F62=$B$3)</x:f>
        <x:v>0</x:v>
      </x:c>
      <x:c r="G62" t="n">
        <x:f>--('01 Sensory Input'!G62=$B$3)</x:f>
        <x:v>0</x:v>
      </x:c>
    </x:row>
    <x:row r="63">
      <x:c r="A63" t="n">
        <x:f>'01 Sensory Input'!A63</x:f>
        <x:v>3</x:v>
      </x:c>
      <x:c r="B63" t="n">
        <x:f>'01 Sensory Input'!B63</x:f>
        <x:v>18</x:v>
      </x:c>
      <x:c r="C63" t="n">
        <x:f>--('01 Sensory Input'!C63=$B$3)</x:f>
        <x:v>0</x:v>
      </x:c>
      <x:c r="D63" t="n">
        <x:f>--('01 Sensory Input'!D63=$B$3)</x:f>
        <x:v>0</x:v>
      </x:c>
      <x:c r="E63" t="n">
        <x:f>--('01 Sensory Input'!E63=$B$3)</x:f>
        <x:v>0</x:v>
      </x:c>
      <x:c r="F63" t="n">
        <x:f>--('01 Sensory Input'!F63=$B$3)</x:f>
        <x:v>0</x:v>
      </x:c>
      <x:c r="G63" t="n">
        <x:f>--('01 Sensory Input'!G63=$B$3)</x:f>
        <x:v>0</x:v>
      </x:c>
    </x:row>
    <x:row r="64">
      <x:c r="A64" t="n">
        <x:f>'01 Sensory Input'!A64</x:f>
        <x:v>3</x:v>
      </x:c>
      <x:c r="B64" t="n">
        <x:f>'01 Sensory Input'!B64</x:f>
        <x:v>19</x:v>
      </x:c>
      <x:c r="C64" t="n">
        <x:f>--('01 Sensory Input'!C64=$B$3)</x:f>
        <x:v>0</x:v>
      </x:c>
      <x:c r="D64" t="n">
        <x:f>--('01 Sensory Input'!D64=$B$3)</x:f>
        <x:v>0</x:v>
      </x:c>
      <x:c r="E64" t="n">
        <x:f>--('01 Sensory Input'!E64=$B$3)</x:f>
        <x:v>0</x:v>
      </x:c>
      <x:c r="F64" t="n">
        <x:f>--('01 Sensory Input'!F64=$B$3)</x:f>
        <x:v>0</x:v>
      </x:c>
      <x:c r="G64" t="n">
        <x:f>--('01 Sensory Input'!G64=$B$3)</x:f>
        <x:v>0</x:v>
      </x:c>
    </x:row>
    <x:row r="65">
      <x:c r="A65" t="n">
        <x:f>'01 Sensory Input'!A65</x:f>
        <x:v>3</x:v>
      </x:c>
      <x:c r="B65" t="n">
        <x:f>'01 Sensory Input'!B65</x:f>
        <x:v>20</x:v>
      </x:c>
      <x:c r="C65" t="n">
        <x:f>--('01 Sensory Input'!C65=$B$3)</x:f>
        <x:v>0</x:v>
      </x:c>
      <x:c r="D65" t="n">
        <x:f>--('01 Sensory Input'!D65=$B$3)</x:f>
        <x:v>0</x:v>
      </x:c>
      <x:c r="E65" t="n">
        <x:f>--('01 Sensory Input'!E65=$B$3)</x:f>
        <x:v>0</x:v>
      </x:c>
      <x:c r="F65" t="n">
        <x:f>--('01 Sensory Input'!F65=$B$3)</x:f>
        <x:v>0</x:v>
      </x:c>
      <x:c r="G65" t="n">
        <x:f>--('01 Sensory Input'!G65=$B$3)</x:f>
        <x:v>0</x:v>
      </x:c>
    </x:row>
    <x:row r="66">
      <x:c r="A66" t="n">
        <x:f>'01 Sensory Input'!A66</x:f>
        <x:v>4</x:v>
      </x:c>
      <x:c r="B66" t="n">
        <x:f>'01 Sensory Input'!B66</x:f>
        <x:v>1</x:v>
      </x:c>
      <x:c r="C66" t="n">
        <x:f>--('01 Sensory Input'!C66=$B$3)</x:f>
        <x:v>0</x:v>
      </x:c>
      <x:c r="D66" t="n">
        <x:f>--('01 Sensory Input'!D66=$B$3)</x:f>
        <x:v>0</x:v>
      </x:c>
      <x:c r="E66" t="n">
        <x:f>--('01 Sensory Input'!E66=$B$3)</x:f>
        <x:v>0</x:v>
      </x:c>
      <x:c r="F66" t="n">
        <x:f>--('01 Sensory Input'!F66=$B$3)</x:f>
        <x:v>0</x:v>
      </x:c>
      <x:c r="G66" t="n">
        <x:f>--('01 Sensory Input'!G66=$B$3)</x:f>
        <x:v>0</x:v>
      </x:c>
    </x:row>
    <x:row r="67">
      <x:c r="A67" t="n">
        <x:f>'01 Sensory Input'!A67</x:f>
        <x:v>4</x:v>
      </x:c>
      <x:c r="B67" t="n">
        <x:f>'01 Sensory Input'!B67</x:f>
        <x:v>2</x:v>
      </x:c>
      <x:c r="C67" t="n">
        <x:f>--('01 Sensory Input'!C67=$B$3)</x:f>
        <x:v>0</x:v>
      </x:c>
      <x:c r="D67" t="n">
        <x:f>--('01 Sensory Input'!D67=$B$3)</x:f>
        <x:v>0</x:v>
      </x:c>
      <x:c r="E67" t="n">
        <x:f>--('01 Sensory Input'!E67=$B$3)</x:f>
        <x:v>0</x:v>
      </x:c>
      <x:c r="F67" t="n">
        <x:f>--('01 Sensory Input'!F67=$B$3)</x:f>
        <x:v>0</x:v>
      </x:c>
      <x:c r="G67" t="n">
        <x:f>--('01 Sensory Input'!G67=$B$3)</x:f>
        <x:v>0</x:v>
      </x:c>
    </x:row>
    <x:row r="68">
      <x:c r="A68" t="n">
        <x:f>'01 Sensory Input'!A68</x:f>
        <x:v>4</x:v>
      </x:c>
      <x:c r="B68" t="n">
        <x:f>'01 Sensory Input'!B68</x:f>
        <x:v>3</x:v>
      </x:c>
      <x:c r="C68" t="n">
        <x:f>--('01 Sensory Input'!C68=$B$3)</x:f>
        <x:v>0</x:v>
      </x:c>
      <x:c r="D68" t="n">
        <x:f>--('01 Sensory Input'!D68=$B$3)</x:f>
        <x:v>0</x:v>
      </x:c>
      <x:c r="E68" t="n">
        <x:f>--('01 Sensory Input'!E68=$B$3)</x:f>
        <x:v>0</x:v>
      </x:c>
      <x:c r="F68" t="n">
        <x:f>--('01 Sensory Input'!F68=$B$3)</x:f>
        <x:v>0</x:v>
      </x:c>
      <x:c r="G68" t="n">
        <x:f>--('01 Sensory Input'!G68=$B$3)</x:f>
        <x:v>0</x:v>
      </x:c>
    </x:row>
    <x:row r="69">
      <x:c r="A69" t="n">
        <x:f>'01 Sensory Input'!A69</x:f>
        <x:v>4</x:v>
      </x:c>
      <x:c r="B69" t="n">
        <x:f>'01 Sensory Input'!B69</x:f>
        <x:v>4</x:v>
      </x:c>
      <x:c r="C69" t="n">
        <x:f>--('01 Sensory Input'!C69=$B$3)</x:f>
        <x:v>0</x:v>
      </x:c>
      <x:c r="D69" t="n">
        <x:f>--('01 Sensory Input'!D69=$B$3)</x:f>
        <x:v>0</x:v>
      </x:c>
      <x:c r="E69" t="n">
        <x:f>--('01 Sensory Input'!E69=$B$3)</x:f>
        <x:v>0</x:v>
      </x:c>
      <x:c r="F69" t="n">
        <x:f>--('01 Sensory Input'!F69=$B$3)</x:f>
        <x:v>0</x:v>
      </x:c>
      <x:c r="G69" t="n">
        <x:f>--('01 Sensory Input'!G69=$B$3)</x:f>
        <x:v>0</x:v>
      </x:c>
    </x:row>
    <x:row r="70">
      <x:c r="A70" t="n">
        <x:f>'01 Sensory Input'!A70</x:f>
        <x:v>4</x:v>
      </x:c>
      <x:c r="B70" t="n">
        <x:f>'01 Sensory Input'!B70</x:f>
        <x:v>5</x:v>
      </x:c>
      <x:c r="C70" t="n">
        <x:f>--('01 Sensory Input'!C70=$B$3)</x:f>
        <x:v>0</x:v>
      </x:c>
      <x:c r="D70" t="n">
        <x:f>--('01 Sensory Input'!D70=$B$3)</x:f>
        <x:v>0</x:v>
      </x:c>
      <x:c r="E70" t="n">
        <x:f>--('01 Sensory Input'!E70=$B$3)</x:f>
        <x:v>0</x:v>
      </x:c>
      <x:c r="F70" t="n">
        <x:f>--('01 Sensory Input'!F70=$B$3)</x:f>
        <x:v>0</x:v>
      </x:c>
      <x:c r="G70" t="n">
        <x:f>--('01 Sensory Input'!G70=$B$3)</x:f>
        <x:v>0</x:v>
      </x:c>
    </x:row>
    <x:row r="71">
      <x:c r="A71" t="n">
        <x:f>'01 Sensory Input'!A71</x:f>
        <x:v>4</x:v>
      </x:c>
      <x:c r="B71" t="n">
        <x:f>'01 Sensory Input'!B71</x:f>
        <x:v>6</x:v>
      </x:c>
      <x:c r="C71" t="n">
        <x:f>--('01 Sensory Input'!C71=$B$3)</x:f>
        <x:v>0</x:v>
      </x:c>
      <x:c r="D71" t="n">
        <x:f>--('01 Sensory Input'!D71=$B$3)</x:f>
        <x:v>0</x:v>
      </x:c>
      <x:c r="E71" t="n">
        <x:f>--('01 Sensory Input'!E71=$B$3)</x:f>
        <x:v>0</x:v>
      </x:c>
      <x:c r="F71" t="n">
        <x:f>--('01 Sensory Input'!F71=$B$3)</x:f>
        <x:v>0</x:v>
      </x:c>
      <x:c r="G71" t="n">
        <x:f>--('01 Sensory Input'!G71=$B$3)</x:f>
        <x:v>0</x:v>
      </x:c>
    </x:row>
    <x:row r="72">
      <x:c r="A72" t="n">
        <x:f>'01 Sensory Input'!A72</x:f>
        <x:v>4</x:v>
      </x:c>
      <x:c r="B72" t="n">
        <x:f>'01 Sensory Input'!B72</x:f>
        <x:v>7</x:v>
      </x:c>
      <x:c r="C72" t="n">
        <x:f>--('01 Sensory Input'!C72=$B$3)</x:f>
        <x:v>0</x:v>
      </x:c>
      <x:c r="D72" t="n">
        <x:f>--('01 Sensory Input'!D72=$B$3)</x:f>
        <x:v>0</x:v>
      </x:c>
      <x:c r="E72" t="n">
        <x:f>--('01 Sensory Input'!E72=$B$3)</x:f>
        <x:v>1</x:v>
      </x:c>
      <x:c r="F72" t="n">
        <x:f>--('01 Sensory Input'!F72=$B$3)</x:f>
        <x:v>0</x:v>
      </x:c>
      <x:c r="G72" t="n">
        <x:f>--('01 Sensory Input'!G72=$B$3)</x:f>
        <x:v>0</x:v>
      </x:c>
    </x:row>
    <x:row r="73">
      <x:c r="A73" t="n">
        <x:f>'01 Sensory Input'!A73</x:f>
        <x:v>4</x:v>
      </x:c>
      <x:c r="B73" t="n">
        <x:f>'01 Sensory Input'!B73</x:f>
        <x:v>8</x:v>
      </x:c>
      <x:c r="C73" t="n">
        <x:f>--('01 Sensory Input'!C73=$B$3)</x:f>
        <x:v>0</x:v>
      </x:c>
      <x:c r="D73" t="n">
        <x:f>--('01 Sensory Input'!D73=$B$3)</x:f>
        <x:v>0</x:v>
      </x:c>
      <x:c r="E73" t="n">
        <x:f>--('01 Sensory Input'!E73=$B$3)</x:f>
        <x:v>0</x:v>
      </x:c>
      <x:c r="F73" t="n">
        <x:f>--('01 Sensory Input'!F73=$B$3)</x:f>
        <x:v>0</x:v>
      </x:c>
      <x:c r="G73" t="n">
        <x:f>--('01 Sensory Input'!G73=$B$3)</x:f>
        <x:v>0</x:v>
      </x:c>
    </x:row>
    <x:row r="74">
      <x:c r="A74" t="n">
        <x:f>'01 Sensory Input'!A74</x:f>
        <x:v>4</x:v>
      </x:c>
      <x:c r="B74" t="n">
        <x:f>'01 Sensory Input'!B74</x:f>
        <x:v>9</x:v>
      </x:c>
      <x:c r="C74" t="n">
        <x:f>--('01 Sensory Input'!C74=$B$3)</x:f>
        <x:v>0</x:v>
      </x:c>
      <x:c r="D74" t="n">
        <x:f>--('01 Sensory Input'!D74=$B$3)</x:f>
        <x:v>0</x:v>
      </x:c>
      <x:c r="E74" t="n">
        <x:f>--('01 Sensory Input'!E74=$B$3)</x:f>
        <x:v>0</x:v>
      </x:c>
      <x:c r="F74" t="n">
        <x:f>--('01 Sensory Input'!F74=$B$3)</x:f>
        <x:v>0</x:v>
      </x:c>
      <x:c r="G74" t="n">
        <x:f>--('01 Sensory Input'!G74=$B$3)</x:f>
        <x:v>0</x:v>
      </x:c>
    </x:row>
    <x:row r="75">
      <x:c r="A75" t="n">
        <x:f>'01 Sensory Input'!A75</x:f>
        <x:v>4</x:v>
      </x:c>
      <x:c r="B75" t="n">
        <x:f>'01 Sensory Input'!B75</x:f>
        <x:v>10</x:v>
      </x:c>
      <x:c r="C75" t="n">
        <x:f>--('01 Sensory Input'!C75=$B$3)</x:f>
        <x:v>0</x:v>
      </x:c>
      <x:c r="D75" t="n">
        <x:f>--('01 Sensory Input'!D75=$B$3)</x:f>
        <x:v>0</x:v>
      </x:c>
      <x:c r="E75" t="n">
        <x:f>--('01 Sensory Input'!E75=$B$3)</x:f>
        <x:v>0</x:v>
      </x:c>
      <x:c r="F75" t="n">
        <x:f>--('01 Sensory Input'!F75=$B$3)</x:f>
        <x:v>0</x:v>
      </x:c>
      <x:c r="G75" t="n">
        <x:f>--('01 Sensory Input'!G75=$B$3)</x:f>
        <x:v>0</x:v>
      </x:c>
    </x:row>
    <x:row r="76">
      <x:c r="A76" t="n">
        <x:f>'01 Sensory Input'!A76</x:f>
        <x:v>4</x:v>
      </x:c>
      <x:c r="B76" t="n">
        <x:f>'01 Sensory Input'!B76</x:f>
        <x:v>11</x:v>
      </x:c>
      <x:c r="C76" t="n">
        <x:f>--('01 Sensory Input'!C76=$B$3)</x:f>
        <x:v>0</x:v>
      </x:c>
      <x:c r="D76" t="n">
        <x:f>--('01 Sensory Input'!D76=$B$3)</x:f>
        <x:v>0</x:v>
      </x:c>
      <x:c r="E76" t="n">
        <x:f>--('01 Sensory Input'!E76=$B$3)</x:f>
        <x:v>0</x:v>
      </x:c>
      <x:c r="F76" t="n">
        <x:f>--('01 Sensory Input'!F76=$B$3)</x:f>
        <x:v>0</x:v>
      </x:c>
      <x:c r="G76" t="n">
        <x:f>--('01 Sensory Input'!G76=$B$3)</x:f>
        <x:v>0</x:v>
      </x:c>
    </x:row>
    <x:row r="77">
      <x:c r="A77" t="n">
        <x:f>'01 Sensory Input'!A77</x:f>
        <x:v>4</x:v>
      </x:c>
      <x:c r="B77" t="n">
        <x:f>'01 Sensory Input'!B77</x:f>
        <x:v>12</x:v>
      </x:c>
      <x:c r="C77" t="n">
        <x:f>--('01 Sensory Input'!C77=$B$3)</x:f>
        <x:v>0</x:v>
      </x:c>
      <x:c r="D77" t="n">
        <x:f>--('01 Sensory Input'!D77=$B$3)</x:f>
        <x:v>0</x:v>
      </x:c>
      <x:c r="E77" t="n">
        <x:f>--('01 Sensory Input'!E77=$B$3)</x:f>
        <x:v>0</x:v>
      </x:c>
      <x:c r="F77" t="n">
        <x:f>--('01 Sensory Input'!F77=$B$3)</x:f>
        <x:v>0</x:v>
      </x:c>
      <x:c r="G77" t="n">
        <x:f>--('01 Sensory Input'!G77=$B$3)</x:f>
        <x:v>0</x:v>
      </x:c>
    </x:row>
    <x:row r="78">
      <x:c r="A78" t="n">
        <x:f>'01 Sensory Input'!A78</x:f>
        <x:v>4</x:v>
      </x:c>
      <x:c r="B78" t="n">
        <x:f>'01 Sensory Input'!B78</x:f>
        <x:v>13</x:v>
      </x:c>
      <x:c r="C78" t="n">
        <x:f>--('01 Sensory Input'!C78=$B$3)</x:f>
        <x:v>0</x:v>
      </x:c>
      <x:c r="D78" t="n">
        <x:f>--('01 Sensory Input'!D78=$B$3)</x:f>
        <x:v>0</x:v>
      </x:c>
      <x:c r="E78" t="n">
        <x:f>--('01 Sensory Input'!E78=$B$3)</x:f>
        <x:v>0</x:v>
      </x:c>
      <x:c r="F78" t="n">
        <x:f>--('01 Sensory Input'!F78=$B$3)</x:f>
        <x:v>0</x:v>
      </x:c>
      <x:c r="G78" t="n">
        <x:f>--('01 Sensory Input'!G78=$B$3)</x:f>
        <x:v>0</x:v>
      </x:c>
    </x:row>
    <x:row r="79">
      <x:c r="A79" t="n">
        <x:f>'01 Sensory Input'!A79</x:f>
        <x:v>4</x:v>
      </x:c>
      <x:c r="B79" t="n">
        <x:f>'01 Sensory Input'!B79</x:f>
        <x:v>14</x:v>
      </x:c>
      <x:c r="C79" t="n">
        <x:f>--('01 Sensory Input'!C79=$B$3)</x:f>
        <x:v>0</x:v>
      </x:c>
      <x:c r="D79" t="n">
        <x:f>--('01 Sensory Input'!D79=$B$3)</x:f>
        <x:v>0</x:v>
      </x:c>
      <x:c r="E79" t="n">
        <x:f>--('01 Sensory Input'!E79=$B$3)</x:f>
        <x:v>0</x:v>
      </x:c>
      <x:c r="F79" t="n">
        <x:f>--('01 Sensory Input'!F79=$B$3)</x:f>
        <x:v>0</x:v>
      </x:c>
      <x:c r="G79" t="n">
        <x:f>--('01 Sensory Input'!G79=$B$3)</x:f>
        <x:v>0</x:v>
      </x:c>
    </x:row>
    <x:row r="80">
      <x:c r="A80" t="n">
        <x:f>'01 Sensory Input'!A80</x:f>
        <x:v>4</x:v>
      </x:c>
      <x:c r="B80" t="n">
        <x:f>'01 Sensory Input'!B80</x:f>
        <x:v>15</x:v>
      </x:c>
      <x:c r="C80" t="n">
        <x:f>--('01 Sensory Input'!C80=$B$3)</x:f>
        <x:v>0</x:v>
      </x:c>
      <x:c r="D80" t="n">
        <x:f>--('01 Sensory Input'!D80=$B$3)</x:f>
        <x:v>0</x:v>
      </x:c>
      <x:c r="E80" t="n">
        <x:f>--('01 Sensory Input'!E80=$B$3)</x:f>
        <x:v>0</x:v>
      </x:c>
      <x:c r="F80" t="n">
        <x:f>--('01 Sensory Input'!F80=$B$3)</x:f>
        <x:v>0</x:v>
      </x:c>
      <x:c r="G80" t="n">
        <x:f>--('01 Sensory Input'!G80=$B$3)</x:f>
        <x:v>0</x:v>
      </x:c>
    </x:row>
    <x:row r="81">
      <x:c r="A81" t="n">
        <x:f>'01 Sensory Input'!A81</x:f>
        <x:v>4</x:v>
      </x:c>
      <x:c r="B81" t="n">
        <x:f>'01 Sensory Input'!B81</x:f>
        <x:v>16</x:v>
      </x:c>
      <x:c r="C81" t="n">
        <x:f>--('01 Sensory Input'!C81=$B$3)</x:f>
        <x:v>0</x:v>
      </x:c>
      <x:c r="D81" t="n">
        <x:f>--('01 Sensory Input'!D81=$B$3)</x:f>
        <x:v>0</x:v>
      </x:c>
      <x:c r="E81" t="n">
        <x:f>--('01 Sensory Input'!E81=$B$3)</x:f>
        <x:v>0</x:v>
      </x:c>
      <x:c r="F81" t="n">
        <x:f>--('01 Sensory Input'!F81=$B$3)</x:f>
        <x:v>0</x:v>
      </x:c>
      <x:c r="G81" t="n">
        <x:f>--('01 Sensory Input'!G81=$B$3)</x:f>
        <x:v>0</x:v>
      </x:c>
    </x:row>
    <x:row r="82">
      <x:c r="A82" t="n">
        <x:f>'01 Sensory Input'!A82</x:f>
        <x:v>4</x:v>
      </x:c>
      <x:c r="B82" t="n">
        <x:f>'01 Sensory Input'!B82</x:f>
        <x:v>17</x:v>
      </x:c>
      <x:c r="C82" t="n">
        <x:f>--('01 Sensory Input'!C82=$B$3)</x:f>
        <x:v>0</x:v>
      </x:c>
      <x:c r="D82" t="n">
        <x:f>--('01 Sensory Input'!D82=$B$3)</x:f>
        <x:v>0</x:v>
      </x:c>
      <x:c r="E82" t="n">
        <x:f>--('01 Sensory Input'!E82=$B$3)</x:f>
        <x:v>0</x:v>
      </x:c>
      <x:c r="F82" t="n">
        <x:f>--('01 Sensory Input'!F82=$B$3)</x:f>
        <x:v>0</x:v>
      </x:c>
      <x:c r="G82" t="n">
        <x:f>--('01 Sensory Input'!G82=$B$3)</x:f>
        <x:v>0</x:v>
      </x:c>
    </x:row>
    <x:row r="83">
      <x:c r="A83" t="n">
        <x:f>'01 Sensory Input'!A83</x:f>
        <x:v>4</x:v>
      </x:c>
      <x:c r="B83" t="n">
        <x:f>'01 Sensory Input'!B83</x:f>
        <x:v>18</x:v>
      </x:c>
      <x:c r="C83" t="n">
        <x:f>--('01 Sensory Input'!C83=$B$3)</x:f>
        <x:v>0</x:v>
      </x:c>
      <x:c r="D83" t="n">
        <x:f>--('01 Sensory Input'!D83=$B$3)</x:f>
        <x:v>0</x:v>
      </x:c>
      <x:c r="E83" t="n">
        <x:f>--('01 Sensory Input'!E83=$B$3)</x:f>
        <x:v>0</x:v>
      </x:c>
      <x:c r="F83" t="n">
        <x:f>--('01 Sensory Input'!F83=$B$3)</x:f>
        <x:v>0</x:v>
      </x:c>
      <x:c r="G83" t="n">
        <x:f>--('01 Sensory Input'!G83=$B$3)</x:f>
        <x:v>0</x:v>
      </x:c>
    </x:row>
    <x:row r="84">
      <x:c r="A84" t="n">
        <x:f>'01 Sensory Input'!A84</x:f>
        <x:v>4</x:v>
      </x:c>
      <x:c r="B84" t="n">
        <x:f>'01 Sensory Input'!B84</x:f>
        <x:v>19</x:v>
      </x:c>
      <x:c r="C84" t="n">
        <x:f>--('01 Sensory Input'!C84=$B$3)</x:f>
        <x:v>0</x:v>
      </x:c>
      <x:c r="D84" t="n">
        <x:f>--('01 Sensory Input'!D84=$B$3)</x:f>
        <x:v>0</x:v>
      </x:c>
      <x:c r="E84" t="n">
        <x:f>--('01 Sensory Input'!E84=$B$3)</x:f>
        <x:v>0</x:v>
      </x:c>
      <x:c r="F84" t="n">
        <x:f>--('01 Sensory Input'!F84=$B$3)</x:f>
        <x:v>0</x:v>
      </x:c>
      <x:c r="G84" t="n">
        <x:f>--('01 Sensory Input'!G84=$B$3)</x:f>
        <x:v>0</x:v>
      </x:c>
    </x:row>
    <x:row r="85">
      <x:c r="A85" t="n">
        <x:f>'01 Sensory Input'!A85</x:f>
        <x:v>4</x:v>
      </x:c>
      <x:c r="B85" t="n">
        <x:f>'01 Sensory Input'!B85</x:f>
        <x:v>20</x:v>
      </x:c>
      <x:c r="C85" t="n">
        <x:f>--('01 Sensory Input'!C85=$B$3)</x:f>
        <x:v>0</x:v>
      </x:c>
      <x:c r="D85" t="n">
        <x:f>--('01 Sensory Input'!D85=$B$3)</x:f>
        <x:v>0</x:v>
      </x:c>
      <x:c r="E85" t="n">
        <x:f>--('01 Sensory Input'!E85=$B$3)</x:f>
        <x:v>0</x:v>
      </x:c>
      <x:c r="F85" t="n">
        <x:f>--('01 Sensory Input'!F85=$B$3)</x:f>
        <x:v>0</x:v>
      </x:c>
      <x:c r="G85" t="n">
        <x:f>--('01 Sensory Input'!G85=$B$3)</x:f>
        <x:v>0</x:v>
      </x:c>
    </x:row>
    <x:row r="86">
      <x:c r="A86" t="n">
        <x:f>'01 Sensory Input'!A86</x:f>
        <x:v>5</x:v>
      </x:c>
      <x:c r="B86" t="n">
        <x:f>'01 Sensory Input'!B86</x:f>
        <x:v>1</x:v>
      </x:c>
      <x:c r="C86" t="n">
        <x:f>--('01 Sensory Input'!C86=$B$3)</x:f>
        <x:v>0</x:v>
      </x:c>
      <x:c r="D86" t="n">
        <x:f>--('01 Sensory Input'!D86=$B$3)</x:f>
        <x:v>0</x:v>
      </x:c>
      <x:c r="E86" t="n">
        <x:f>--('01 Sensory Input'!E86=$B$3)</x:f>
        <x:v>0</x:v>
      </x:c>
      <x:c r="F86" t="n">
        <x:f>--('01 Sensory Input'!F86=$B$3)</x:f>
        <x:v>0</x:v>
      </x:c>
      <x:c r="G86" t="n">
        <x:f>--('01 Sensory Input'!G86=$B$3)</x:f>
        <x:v>0</x:v>
      </x:c>
    </x:row>
    <x:row r="87">
      <x:c r="A87" t="n">
        <x:f>'01 Sensory Input'!A87</x:f>
        <x:v>5</x:v>
      </x:c>
      <x:c r="B87" t="n">
        <x:f>'01 Sensory Input'!B87</x:f>
        <x:v>2</x:v>
      </x:c>
      <x:c r="C87" t="n">
        <x:f>--('01 Sensory Input'!C87=$B$3)</x:f>
        <x:v>0</x:v>
      </x:c>
      <x:c r="D87" t="n">
        <x:f>--('01 Sensory Input'!D87=$B$3)</x:f>
        <x:v>0</x:v>
      </x:c>
      <x:c r="E87" t="n">
        <x:f>--('01 Sensory Input'!E87=$B$3)</x:f>
        <x:v>0</x:v>
      </x:c>
      <x:c r="F87" t="n">
        <x:f>--('01 Sensory Input'!F87=$B$3)</x:f>
        <x:v>0</x:v>
      </x:c>
      <x:c r="G87" t="n">
        <x:f>--('01 Sensory Input'!G87=$B$3)</x:f>
        <x:v>0</x:v>
      </x:c>
    </x:row>
    <x:row r="88">
      <x:c r="A88" t="n">
        <x:f>'01 Sensory Input'!A88</x:f>
        <x:v>5</x:v>
      </x:c>
      <x:c r="B88" t="n">
        <x:f>'01 Sensory Input'!B88</x:f>
        <x:v>3</x:v>
      </x:c>
      <x:c r="C88" t="n">
        <x:f>--('01 Sensory Input'!C88=$B$3)</x:f>
        <x:v>0</x:v>
      </x:c>
      <x:c r="D88" t="n">
        <x:f>--('01 Sensory Input'!D88=$B$3)</x:f>
        <x:v>0</x:v>
      </x:c>
      <x:c r="E88" t="n">
        <x:f>--('01 Sensory Input'!E88=$B$3)</x:f>
        <x:v>0</x:v>
      </x:c>
      <x:c r="F88" t="n">
        <x:f>--('01 Sensory Input'!F88=$B$3)</x:f>
        <x:v>0</x:v>
      </x:c>
      <x:c r="G88" t="n">
        <x:f>--('01 Sensory Input'!G88=$B$3)</x:f>
        <x:v>0</x:v>
      </x:c>
    </x:row>
    <x:row r="89">
      <x:c r="A89" t="n">
        <x:f>'01 Sensory Input'!A89</x:f>
        <x:v>5</x:v>
      </x:c>
      <x:c r="B89" t="n">
        <x:f>'01 Sensory Input'!B89</x:f>
        <x:v>4</x:v>
      </x:c>
      <x:c r="C89" t="n">
        <x:f>--('01 Sensory Input'!C89=$B$3)</x:f>
        <x:v>0</x:v>
      </x:c>
      <x:c r="D89" t="n">
        <x:f>--('01 Sensory Input'!D89=$B$3)</x:f>
        <x:v>0</x:v>
      </x:c>
      <x:c r="E89" t="n">
        <x:f>--('01 Sensory Input'!E89=$B$3)</x:f>
        <x:v>0</x:v>
      </x:c>
      <x:c r="F89" t="n">
        <x:f>--('01 Sensory Input'!F89=$B$3)</x:f>
        <x:v>0</x:v>
      </x:c>
      <x:c r="G89" t="n">
        <x:f>--('01 Sensory Input'!G89=$B$3)</x:f>
        <x:v>0</x:v>
      </x:c>
    </x:row>
    <x:row r="90">
      <x:c r="A90" t="n">
        <x:f>'01 Sensory Input'!A90</x:f>
        <x:v>5</x:v>
      </x:c>
      <x:c r="B90" t="n">
        <x:f>'01 Sensory Input'!B90</x:f>
        <x:v>5</x:v>
      </x:c>
      <x:c r="C90" t="n">
        <x:f>--('01 Sensory Input'!C90=$B$3)</x:f>
        <x:v>0</x:v>
      </x:c>
      <x:c r="D90" t="n">
        <x:f>--('01 Sensory Input'!D90=$B$3)</x:f>
        <x:v>0</x:v>
      </x:c>
      <x:c r="E90" t="n">
        <x:f>--('01 Sensory Input'!E90=$B$3)</x:f>
        <x:v>0</x:v>
      </x:c>
      <x:c r="F90" t="n">
        <x:f>--('01 Sensory Input'!F90=$B$3)</x:f>
        <x:v>0</x:v>
      </x:c>
      <x:c r="G90" t="n">
        <x:f>--('01 Sensory Input'!G90=$B$3)</x:f>
        <x:v>0</x:v>
      </x:c>
    </x:row>
    <x:row r="91">
      <x:c r="A91" t="n">
        <x:f>'01 Sensory Input'!A91</x:f>
        <x:v>5</x:v>
      </x:c>
      <x:c r="B91" t="n">
        <x:f>'01 Sensory Input'!B91</x:f>
        <x:v>6</x:v>
      </x:c>
      <x:c r="C91" t="n">
        <x:f>--('01 Sensory Input'!C91=$B$3)</x:f>
        <x:v>0</x:v>
      </x:c>
      <x:c r="D91" t="n">
        <x:f>--('01 Sensory Input'!D91=$B$3)</x:f>
        <x:v>0</x:v>
      </x:c>
      <x:c r="E91" t="n">
        <x:f>--('01 Sensory Input'!E91=$B$3)</x:f>
        <x:v>0</x:v>
      </x:c>
      <x:c r="F91" t="n">
        <x:f>--('01 Sensory Input'!F91=$B$3)</x:f>
        <x:v>0</x:v>
      </x:c>
      <x:c r="G91" t="n">
        <x:f>--('01 Sensory Input'!G91=$B$3)</x:f>
        <x:v>0</x:v>
      </x:c>
    </x:row>
    <x:row r="92">
      <x:c r="A92" t="n">
        <x:f>'01 Sensory Input'!A92</x:f>
        <x:v>5</x:v>
      </x:c>
      <x:c r="B92" t="n">
        <x:f>'01 Sensory Input'!B92</x:f>
        <x:v>7</x:v>
      </x:c>
      <x:c r="C92" t="n">
        <x:f>--('01 Sensory Input'!C92=$B$3)</x:f>
        <x:v>0</x:v>
      </x:c>
      <x:c r="D92" t="n">
        <x:f>--('01 Sensory Input'!D92=$B$3)</x:f>
        <x:v>0</x:v>
      </x:c>
      <x:c r="E92" t="n">
        <x:f>--('01 Sensory Input'!E92=$B$3)</x:f>
        <x:v>0</x:v>
      </x:c>
      <x:c r="F92" t="n">
        <x:f>--('01 Sensory Input'!F92=$B$3)</x:f>
        <x:v>0</x:v>
      </x:c>
      <x:c r="G92" t="n">
        <x:f>--('01 Sensory Input'!G92=$B$3)</x:f>
        <x:v>0</x:v>
      </x:c>
    </x:row>
    <x:row r="93">
      <x:c r="A93" t="n">
        <x:f>'01 Sensory Input'!A93</x:f>
        <x:v>5</x:v>
      </x:c>
      <x:c r="B93" t="n">
        <x:f>'01 Sensory Input'!B93</x:f>
        <x:v>8</x:v>
      </x:c>
      <x:c r="C93" t="n">
        <x:f>--('01 Sensory Input'!C93=$B$3)</x:f>
        <x:v>0</x:v>
      </x:c>
      <x:c r="D93" t="n">
        <x:f>--('01 Sensory Input'!D93=$B$3)</x:f>
        <x:v>0</x:v>
      </x:c>
      <x:c r="E93" t="n">
        <x:f>--('01 Sensory Input'!E93=$B$3)</x:f>
        <x:v>0</x:v>
      </x:c>
      <x:c r="F93" t="n">
        <x:f>--('01 Sensory Input'!F93=$B$3)</x:f>
        <x:v>0</x:v>
      </x:c>
      <x:c r="G93" t="n">
        <x:f>--('01 Sensory Input'!G93=$B$3)</x:f>
        <x:v>0</x:v>
      </x:c>
    </x:row>
    <x:row r="94">
      <x:c r="A94" t="n">
        <x:f>'01 Sensory Input'!A94</x:f>
        <x:v>5</x:v>
      </x:c>
      <x:c r="B94" t="n">
        <x:f>'01 Sensory Input'!B94</x:f>
        <x:v>9</x:v>
      </x:c>
      <x:c r="C94" t="n">
        <x:f>--('01 Sensory Input'!C94=$B$3)</x:f>
        <x:v>0</x:v>
      </x:c>
      <x:c r="D94" t="n">
        <x:f>--('01 Sensory Input'!D94=$B$3)</x:f>
        <x:v>0</x:v>
      </x:c>
      <x:c r="E94" t="n">
        <x:f>--('01 Sensory Input'!E94=$B$3)</x:f>
        <x:v>0</x:v>
      </x:c>
      <x:c r="F94" t="n">
        <x:f>--('01 Sensory Input'!F94=$B$3)</x:f>
        <x:v>0</x:v>
      </x:c>
      <x:c r="G94" t="n">
        <x:f>--('01 Sensory Input'!G94=$B$3)</x:f>
        <x:v>0</x:v>
      </x:c>
    </x:row>
    <x:row r="95">
      <x:c r="A95" t="n">
        <x:f>'01 Sensory Input'!A95</x:f>
        <x:v>5</x:v>
      </x:c>
      <x:c r="B95" t="n">
        <x:f>'01 Sensory Input'!B95</x:f>
        <x:v>10</x:v>
      </x:c>
      <x:c r="C95" t="n">
        <x:f>--('01 Sensory Input'!C95=$B$3)</x:f>
        <x:v>0</x:v>
      </x:c>
      <x:c r="D95" t="n">
        <x:f>--('01 Sensory Input'!D95=$B$3)</x:f>
        <x:v>0</x:v>
      </x:c>
      <x:c r="E95" t="n">
        <x:f>--('01 Sensory Input'!E95=$B$3)</x:f>
        <x:v>0</x:v>
      </x:c>
      <x:c r="F95" t="n">
        <x:f>--('01 Sensory Input'!F95=$B$3)</x:f>
        <x:v>0</x:v>
      </x:c>
      <x:c r="G95" t="n">
        <x:f>--('01 Sensory Input'!G95=$B$3)</x:f>
        <x:v>0</x:v>
      </x:c>
    </x:row>
    <x:row r="96">
      <x:c r="A96" t="n">
        <x:f>'01 Sensory Input'!A96</x:f>
        <x:v>5</x:v>
      </x:c>
      <x:c r="B96" t="n">
        <x:f>'01 Sensory Input'!B96</x:f>
        <x:v>11</x:v>
      </x:c>
      <x:c r="C96" t="n">
        <x:f>--('01 Sensory Input'!C96=$B$3)</x:f>
        <x:v>0</x:v>
      </x:c>
      <x:c r="D96" t="n">
        <x:f>--('01 Sensory Input'!D96=$B$3)</x:f>
        <x:v>0</x:v>
      </x:c>
      <x:c r="E96" t="n">
        <x:f>--('01 Sensory Input'!E96=$B$3)</x:f>
        <x:v>0</x:v>
      </x:c>
      <x:c r="F96" t="n">
        <x:f>--('01 Sensory Input'!F96=$B$3)</x:f>
        <x:v>0</x:v>
      </x:c>
      <x:c r="G96" t="n">
        <x:f>--('01 Sensory Input'!G96=$B$3)</x:f>
        <x:v>0</x:v>
      </x:c>
    </x:row>
    <x:row r="97">
      <x:c r="A97" t="n">
        <x:f>'01 Sensory Input'!A97</x:f>
        <x:v>5</x:v>
      </x:c>
      <x:c r="B97" t="n">
        <x:f>'01 Sensory Input'!B97</x:f>
        <x:v>12</x:v>
      </x:c>
      <x:c r="C97" t="n">
        <x:f>--('01 Sensory Input'!C97=$B$3)</x:f>
        <x:v>0</x:v>
      </x:c>
      <x:c r="D97" t="n">
        <x:f>--('01 Sensory Input'!D97=$B$3)</x:f>
        <x:v>0</x:v>
      </x:c>
      <x:c r="E97" t="n">
        <x:f>--('01 Sensory Input'!E97=$B$3)</x:f>
        <x:v>0</x:v>
      </x:c>
      <x:c r="F97" t="n">
        <x:f>--('01 Sensory Input'!F97=$B$3)</x:f>
        <x:v>0</x:v>
      </x:c>
      <x:c r="G97" t="n">
        <x:f>--('01 Sensory Input'!G97=$B$3)</x:f>
        <x:v>0</x:v>
      </x:c>
    </x:row>
    <x:row r="98">
      <x:c r="A98" t="n">
        <x:f>'01 Sensory Input'!A98</x:f>
        <x:v>5</x:v>
      </x:c>
      <x:c r="B98" t="n">
        <x:f>'01 Sensory Input'!B98</x:f>
        <x:v>13</x:v>
      </x:c>
      <x:c r="C98" t="n">
        <x:f>--('01 Sensory Input'!C98=$B$3)</x:f>
        <x:v>0</x:v>
      </x:c>
      <x:c r="D98" t="n">
        <x:f>--('01 Sensory Input'!D98=$B$3)</x:f>
        <x:v>0</x:v>
      </x:c>
      <x:c r="E98" t="n">
        <x:f>--('01 Sensory Input'!E98=$B$3)</x:f>
        <x:v>0</x:v>
      </x:c>
      <x:c r="F98" t="n">
        <x:f>--('01 Sensory Input'!F98=$B$3)</x:f>
        <x:v>0</x:v>
      </x:c>
      <x:c r="G98" t="n">
        <x:f>--('01 Sensory Input'!G98=$B$3)</x:f>
        <x:v>0</x:v>
      </x:c>
    </x:row>
    <x:row r="99">
      <x:c r="A99" t="n">
        <x:f>'01 Sensory Input'!A99</x:f>
        <x:v>5</x:v>
      </x:c>
      <x:c r="B99" t="n">
        <x:f>'01 Sensory Input'!B99</x:f>
        <x:v>14</x:v>
      </x:c>
      <x:c r="C99" t="n">
        <x:f>--('01 Sensory Input'!C99=$B$3)</x:f>
        <x:v>0</x:v>
      </x:c>
      <x:c r="D99" t="n">
        <x:f>--('01 Sensory Input'!D99=$B$3)</x:f>
        <x:v>0</x:v>
      </x:c>
      <x:c r="E99" t="n">
        <x:f>--('01 Sensory Input'!E99=$B$3)</x:f>
        <x:v>0</x:v>
      </x:c>
      <x:c r="F99" t="n">
        <x:f>--('01 Sensory Input'!F99=$B$3)</x:f>
        <x:v>0</x:v>
      </x:c>
      <x:c r="G99" t="n">
        <x:f>--('01 Sensory Input'!G99=$B$3)</x:f>
        <x:v>0</x:v>
      </x:c>
    </x:row>
    <x:row r="100">
      <x:c r="A100" t="n">
        <x:f>'01 Sensory Input'!A100</x:f>
        <x:v>5</x:v>
      </x:c>
      <x:c r="B100" t="n">
        <x:f>'01 Sensory Input'!B100</x:f>
        <x:v>15</x:v>
      </x:c>
      <x:c r="C100" t="n">
        <x:f>--('01 Sensory Input'!C100=$B$3)</x:f>
        <x:v>0</x:v>
      </x:c>
      <x:c r="D100" t="n">
        <x:f>--('01 Sensory Input'!D100=$B$3)</x:f>
        <x:v>0</x:v>
      </x:c>
      <x:c r="E100" t="n">
        <x:f>--('01 Sensory Input'!E100=$B$3)</x:f>
        <x:v>0</x:v>
      </x:c>
      <x:c r="F100" t="n">
        <x:f>--('01 Sensory Input'!F100=$B$3)</x:f>
        <x:v>0</x:v>
      </x:c>
      <x:c r="G100" t="n">
        <x:f>--('01 Sensory Input'!G100=$B$3)</x:f>
        <x:v>0</x:v>
      </x:c>
    </x:row>
    <x:row r="101">
      <x:c r="A101" t="n">
        <x:f>'01 Sensory Input'!A101</x:f>
        <x:v>5</x:v>
      </x:c>
      <x:c r="B101" t="n">
        <x:f>'01 Sensory Input'!B101</x:f>
        <x:v>16</x:v>
      </x:c>
      <x:c r="C101" t="n">
        <x:f>--('01 Sensory Input'!C101=$B$3)</x:f>
        <x:v>0</x:v>
      </x:c>
      <x:c r="D101" t="n">
        <x:f>--('01 Sensory Input'!D101=$B$3)</x:f>
        <x:v>0</x:v>
      </x:c>
      <x:c r="E101" t="n">
        <x:f>--('01 Sensory Input'!E101=$B$3)</x:f>
        <x:v>0</x:v>
      </x:c>
      <x:c r="F101" t="n">
        <x:f>--('01 Sensory Input'!F101=$B$3)</x:f>
        <x:v>0</x:v>
      </x:c>
      <x:c r="G101" t="n">
        <x:f>--('01 Sensory Input'!G101=$B$3)</x:f>
        <x:v>0</x:v>
      </x:c>
    </x:row>
    <x:row r="102">
      <x:c r="A102" t="n">
        <x:f>'01 Sensory Input'!A102</x:f>
        <x:v>5</x:v>
      </x:c>
      <x:c r="B102" t="n">
        <x:f>'01 Sensory Input'!B102</x:f>
        <x:v>17</x:v>
      </x:c>
      <x:c r="C102" t="n">
        <x:f>--('01 Sensory Input'!C102=$B$3)</x:f>
        <x:v>0</x:v>
      </x:c>
      <x:c r="D102" t="n">
        <x:f>--('01 Sensory Input'!D102=$B$3)</x:f>
        <x:v>0</x:v>
      </x:c>
      <x:c r="E102" t="n">
        <x:f>--('01 Sensory Input'!E102=$B$3)</x:f>
        <x:v>0</x:v>
      </x:c>
      <x:c r="F102" t="n">
        <x:f>--('01 Sensory Input'!F102=$B$3)</x:f>
        <x:v>0</x:v>
      </x:c>
      <x:c r="G102" t="n">
        <x:f>--('01 Sensory Input'!G102=$B$3)</x:f>
        <x:v>0</x:v>
      </x:c>
    </x:row>
    <x:row r="103">
      <x:c r="A103" t="n">
        <x:f>'01 Sensory Input'!A103</x:f>
        <x:v>5</x:v>
      </x:c>
      <x:c r="B103" t="n">
        <x:f>'01 Sensory Input'!B103</x:f>
        <x:v>18</x:v>
      </x:c>
      <x:c r="C103" t="n">
        <x:f>--('01 Sensory Input'!C103=$B$3)</x:f>
        <x:v>0</x:v>
      </x:c>
      <x:c r="D103" t="n">
        <x:f>--('01 Sensory Input'!D103=$B$3)</x:f>
        <x:v>0</x:v>
      </x:c>
      <x:c r="E103" t="n">
        <x:f>--('01 Sensory Input'!E103=$B$3)</x:f>
        <x:v>0</x:v>
      </x:c>
      <x:c r="F103" t="n">
        <x:f>--('01 Sensory Input'!F103=$B$3)</x:f>
        <x:v>0</x:v>
      </x:c>
      <x:c r="G103" t="n">
        <x:f>--('01 Sensory Input'!G103=$B$3)</x:f>
        <x:v>0</x:v>
      </x:c>
    </x:row>
    <x:row r="104">
      <x:c r="A104" t="n">
        <x:f>'01 Sensory Input'!A104</x:f>
        <x:v>5</x:v>
      </x:c>
      <x:c r="B104" t="n">
        <x:f>'01 Sensory Input'!B104</x:f>
        <x:v>19</x:v>
      </x:c>
      <x:c r="C104" t="n">
        <x:f>--('01 Sensory Input'!C104=$B$3)</x:f>
        <x:v>0</x:v>
      </x:c>
      <x:c r="D104" t="n">
        <x:f>--('01 Sensory Input'!D104=$B$3)</x:f>
        <x:v>0</x:v>
      </x:c>
      <x:c r="E104" t="n">
        <x:f>--('01 Sensory Input'!E104=$B$3)</x:f>
        <x:v>0</x:v>
      </x:c>
      <x:c r="F104" t="n">
        <x:f>--('01 Sensory Input'!F104=$B$3)</x:f>
        <x:v>0</x:v>
      </x:c>
      <x:c r="G104" t="n">
        <x:f>--('01 Sensory Input'!G104=$B$3)</x:f>
        <x:v>0</x:v>
      </x:c>
    </x:row>
    <x:row r="105">
      <x:c r="A105" t="n">
        <x:f>'01 Sensory Input'!A105</x:f>
        <x:v>5</x:v>
      </x:c>
      <x:c r="B105" t="n">
        <x:f>'01 Sensory Input'!B105</x:f>
        <x:v>20</x:v>
      </x:c>
      <x:c r="C105" t="n">
        <x:f>--('01 Sensory Input'!C105=$B$3)</x:f>
        <x:v>0</x:v>
      </x:c>
      <x:c r="D105" t="n">
        <x:f>--('01 Sensory Input'!D105=$B$3)</x:f>
        <x:v>0</x:v>
      </x:c>
      <x:c r="E105" t="n">
        <x:f>--('01 Sensory Input'!E105=$B$3)</x:f>
        <x:v>0</x:v>
      </x:c>
      <x:c r="F105" t="n">
        <x:f>--('01 Sensory Input'!F105=$B$3)</x:f>
        <x:v>0</x:v>
      </x:c>
      <x:c r="G105" t="n">
        <x:f>--('01 Sensory Input'!G105=$B$3)</x:f>
        <x:v>0</x:v>
      </x:c>
    </x:row>
    <x:row r="106">
      <x:c r="A106" t="n">
        <x:f>'01 Sensory Input'!A106</x:f>
        <x:v>6</x:v>
      </x:c>
      <x:c r="B106" t="n">
        <x:f>'01 Sensory Input'!B106</x:f>
        <x:v>1</x:v>
      </x:c>
      <x:c r="C106" t="n">
        <x:f>--('01 Sensory Input'!C106=$B$3)</x:f>
        <x:v>0</x:v>
      </x:c>
      <x:c r="D106" t="n">
        <x:f>--('01 Sensory Input'!D106=$B$3)</x:f>
        <x:v>0</x:v>
      </x:c>
      <x:c r="E106" t="n">
        <x:f>--('01 Sensory Input'!E106=$B$3)</x:f>
        <x:v>0</x:v>
      </x:c>
      <x:c r="F106" t="n">
        <x:f>--('01 Sensory Input'!F106=$B$3)</x:f>
        <x:v>0</x:v>
      </x:c>
      <x:c r="G106" t="n">
        <x:f>--('01 Sensory Input'!G106=$B$3)</x:f>
        <x:v>0</x:v>
      </x:c>
    </x:row>
    <x:row r="107">
      <x:c r="A107" t="n">
        <x:f>'01 Sensory Input'!A107</x:f>
        <x:v>6</x:v>
      </x:c>
      <x:c r="B107" t="n">
        <x:f>'01 Sensory Input'!B107</x:f>
        <x:v>2</x:v>
      </x:c>
      <x:c r="C107" t="n">
        <x:f>--('01 Sensory Input'!C107=$B$3)</x:f>
        <x:v>0</x:v>
      </x:c>
      <x:c r="D107" t="n">
        <x:f>--('01 Sensory Input'!D107=$B$3)</x:f>
        <x:v>0</x:v>
      </x:c>
      <x:c r="E107" t="n">
        <x:f>--('01 Sensory Input'!E107=$B$3)</x:f>
        <x:v>0</x:v>
      </x:c>
      <x:c r="F107" t="n">
        <x:f>--('01 Sensory Input'!F107=$B$3)</x:f>
        <x:v>0</x:v>
      </x:c>
      <x:c r="G107" t="n">
        <x:f>--('01 Sensory Input'!G107=$B$3)</x:f>
        <x:v>0</x:v>
      </x:c>
    </x:row>
    <x:row r="108">
      <x:c r="A108" t="n">
        <x:f>'01 Sensory Input'!A108</x:f>
        <x:v>6</x:v>
      </x:c>
      <x:c r="B108" t="n">
        <x:f>'01 Sensory Input'!B108</x:f>
        <x:v>3</x:v>
      </x:c>
      <x:c r="C108" t="n">
        <x:f>--('01 Sensory Input'!C108=$B$3)</x:f>
        <x:v>0</x:v>
      </x:c>
      <x:c r="D108" t="n">
        <x:f>--('01 Sensory Input'!D108=$B$3)</x:f>
        <x:v>0</x:v>
      </x:c>
      <x:c r="E108" t="n">
        <x:f>--('01 Sensory Input'!E108=$B$3)</x:f>
        <x:v>0</x:v>
      </x:c>
      <x:c r="F108" t="n">
        <x:f>--('01 Sensory Input'!F108=$B$3)</x:f>
        <x:v>0</x:v>
      </x:c>
      <x:c r="G108" t="n">
        <x:f>--('01 Sensory Input'!G108=$B$3)</x:f>
        <x:v>0</x:v>
      </x:c>
    </x:row>
    <x:row r="109">
      <x:c r="A109" t="n">
        <x:f>'01 Sensory Input'!A109</x:f>
        <x:v>6</x:v>
      </x:c>
      <x:c r="B109" t="n">
        <x:f>'01 Sensory Input'!B109</x:f>
        <x:v>4</x:v>
      </x:c>
      <x:c r="C109" t="n">
        <x:f>--('01 Sensory Input'!C109=$B$3)</x:f>
        <x:v>0</x:v>
      </x:c>
      <x:c r="D109" t="n">
        <x:f>--('01 Sensory Input'!D109=$B$3)</x:f>
        <x:v>0</x:v>
      </x:c>
      <x:c r="E109" t="n">
        <x:f>--('01 Sensory Input'!E109=$B$3)</x:f>
        <x:v>0</x:v>
      </x:c>
      <x:c r="F109" t="n">
        <x:f>--('01 Sensory Input'!F109=$B$3)</x:f>
        <x:v>0</x:v>
      </x:c>
      <x:c r="G109" t="n">
        <x:f>--('01 Sensory Input'!G109=$B$3)</x:f>
        <x:v>0</x:v>
      </x:c>
    </x:row>
    <x:row r="110">
      <x:c r="A110" t="n">
        <x:f>'01 Sensory Input'!A110</x:f>
        <x:v>6</x:v>
      </x:c>
      <x:c r="B110" t="n">
        <x:f>'01 Sensory Input'!B110</x:f>
        <x:v>5</x:v>
      </x:c>
      <x:c r="C110" t="n">
        <x:f>--('01 Sensory Input'!C110=$B$3)</x:f>
        <x:v>0</x:v>
      </x:c>
      <x:c r="D110" t="n">
        <x:f>--('01 Sensory Input'!D110=$B$3)</x:f>
        <x:v>1</x:v>
      </x:c>
      <x:c r="E110" t="n">
        <x:f>--('01 Sensory Input'!E110=$B$3)</x:f>
        <x:v>0</x:v>
      </x:c>
      <x:c r="F110" t="n">
        <x:f>--('01 Sensory Input'!F110=$B$3)</x:f>
        <x:v>0</x:v>
      </x:c>
      <x:c r="G110" t="n">
        <x:f>--('01 Sensory Input'!G110=$B$3)</x:f>
        <x:v>0</x:v>
      </x:c>
    </x:row>
    <x:row r="111">
      <x:c r="A111" t="n">
        <x:f>'01 Sensory Input'!A111</x:f>
        <x:v>6</x:v>
      </x:c>
      <x:c r="B111" t="n">
        <x:f>'01 Sensory Input'!B111</x:f>
        <x:v>6</x:v>
      </x:c>
      <x:c r="C111" t="n">
        <x:f>--('01 Sensory Input'!C111=$B$3)</x:f>
        <x:v>0</x:v>
      </x:c>
      <x:c r="D111" t="n">
        <x:f>--('01 Sensory Input'!D111=$B$3)</x:f>
        <x:v>0</x:v>
      </x:c>
      <x:c r="E111" t="n">
        <x:f>--('01 Sensory Input'!E111=$B$3)</x:f>
        <x:v>0</x:v>
      </x:c>
      <x:c r="F111" t="n">
        <x:f>--('01 Sensory Input'!F111=$B$3)</x:f>
        <x:v>0</x:v>
      </x:c>
      <x:c r="G111" t="n">
        <x:f>--('01 Sensory Input'!G111=$B$3)</x:f>
        <x:v>0</x:v>
      </x:c>
    </x:row>
    <x:row r="112">
      <x:c r="A112" t="n">
        <x:f>'01 Sensory Input'!A112</x:f>
        <x:v>6</x:v>
      </x:c>
      <x:c r="B112" t="n">
        <x:f>'01 Sensory Input'!B112</x:f>
        <x:v>7</x:v>
      </x:c>
      <x:c r="C112" t="n">
        <x:f>--('01 Sensory Input'!C112=$B$3)</x:f>
        <x:v>0</x:v>
      </x:c>
      <x:c r="D112" t="n">
        <x:f>--('01 Sensory Input'!D112=$B$3)</x:f>
        <x:v>0</x:v>
      </x:c>
      <x:c r="E112" t="n">
        <x:f>--('01 Sensory Input'!E112=$B$3)</x:f>
        <x:v>0</x:v>
      </x:c>
      <x:c r="F112" t="n">
        <x:f>--('01 Sensory Input'!F112=$B$3)</x:f>
        <x:v>0</x:v>
      </x:c>
      <x:c r="G112" t="n">
        <x:f>--('01 Sensory Input'!G112=$B$3)</x:f>
        <x:v>0</x:v>
      </x:c>
    </x:row>
    <x:row r="113">
      <x:c r="A113" t="n">
        <x:f>'01 Sensory Input'!A113</x:f>
        <x:v>6</x:v>
      </x:c>
      <x:c r="B113" t="n">
        <x:f>'01 Sensory Input'!B113</x:f>
        <x:v>8</x:v>
      </x:c>
      <x:c r="C113" t="n">
        <x:f>--('01 Sensory Input'!C113=$B$3)</x:f>
        <x:v>0</x:v>
      </x:c>
      <x:c r="D113" t="n">
        <x:f>--('01 Sensory Input'!D113=$B$3)</x:f>
        <x:v>0</x:v>
      </x:c>
      <x:c r="E113" t="n">
        <x:f>--('01 Sensory Input'!E113=$B$3)</x:f>
        <x:v>0</x:v>
      </x:c>
      <x:c r="F113" t="n">
        <x:f>--('01 Sensory Input'!F113=$B$3)</x:f>
        <x:v>0</x:v>
      </x:c>
      <x:c r="G113" t="n">
        <x:f>--('01 Sensory Input'!G113=$B$3)</x:f>
        <x:v>0</x:v>
      </x:c>
    </x:row>
    <x:row r="114">
      <x:c r="A114" t="n">
        <x:f>'01 Sensory Input'!A114</x:f>
        <x:v>6</x:v>
      </x:c>
      <x:c r="B114" t="n">
        <x:f>'01 Sensory Input'!B114</x:f>
        <x:v>9</x:v>
      </x:c>
      <x:c r="C114" t="n">
        <x:f>--('01 Sensory Input'!C114=$B$3)</x:f>
        <x:v>0</x:v>
      </x:c>
      <x:c r="D114" t="n">
        <x:f>--('01 Sensory Input'!D114=$B$3)</x:f>
        <x:v>0</x:v>
      </x:c>
      <x:c r="E114" t="n">
        <x:f>--('01 Sensory Input'!E114=$B$3)</x:f>
        <x:v>0</x:v>
      </x:c>
      <x:c r="F114" t="n">
        <x:f>--('01 Sensory Input'!F114=$B$3)</x:f>
        <x:v>0</x:v>
      </x:c>
      <x:c r="G114" t="n">
        <x:f>--('01 Sensory Input'!G114=$B$3)</x:f>
        <x:v>0</x:v>
      </x:c>
    </x:row>
    <x:row r="115">
      <x:c r="A115" t="n">
        <x:f>'01 Sensory Input'!A115</x:f>
        <x:v>6</x:v>
      </x:c>
      <x:c r="B115" t="n">
        <x:f>'01 Sensory Input'!B115</x:f>
        <x:v>10</x:v>
      </x:c>
      <x:c r="C115" t="n">
        <x:f>--('01 Sensory Input'!C115=$B$3)</x:f>
        <x:v>0</x:v>
      </x:c>
      <x:c r="D115" t="n">
        <x:f>--('01 Sensory Input'!D115=$B$3)</x:f>
        <x:v>0</x:v>
      </x:c>
      <x:c r="E115" t="n">
        <x:f>--('01 Sensory Input'!E115=$B$3)</x:f>
        <x:v>0</x:v>
      </x:c>
      <x:c r="F115" t="n">
        <x:f>--('01 Sensory Input'!F115=$B$3)</x:f>
        <x:v>0</x:v>
      </x:c>
      <x:c r="G115" t="n">
        <x:f>--('01 Sensory Input'!G115=$B$3)</x:f>
        <x:v>0</x:v>
      </x:c>
    </x:row>
    <x:row r="116">
      <x:c r="A116" t="n">
        <x:f>'01 Sensory Input'!A116</x:f>
        <x:v>6</x:v>
      </x:c>
      <x:c r="B116" t="n">
        <x:f>'01 Sensory Input'!B116</x:f>
        <x:v>11</x:v>
      </x:c>
      <x:c r="C116" t="n">
        <x:f>--('01 Sensory Input'!C116=$B$3)</x:f>
        <x:v>0</x:v>
      </x:c>
      <x:c r="D116" t="n">
        <x:f>--('01 Sensory Input'!D116=$B$3)</x:f>
        <x:v>0</x:v>
      </x:c>
      <x:c r="E116" t="n">
        <x:f>--('01 Sensory Input'!E116=$B$3)</x:f>
        <x:v>0</x:v>
      </x:c>
      <x:c r="F116" t="n">
        <x:f>--('01 Sensory Input'!F116=$B$3)</x:f>
        <x:v>0</x:v>
      </x:c>
      <x:c r="G116" t="n">
        <x:f>--('01 Sensory Input'!G116=$B$3)</x:f>
        <x:v>0</x:v>
      </x:c>
    </x:row>
    <x:row r="117">
      <x:c r="A117" t="n">
        <x:f>'01 Sensory Input'!A117</x:f>
        <x:v>6</x:v>
      </x:c>
      <x:c r="B117" t="n">
        <x:f>'01 Sensory Input'!B117</x:f>
        <x:v>12</x:v>
      </x:c>
      <x:c r="C117" t="n">
        <x:f>--('01 Sensory Input'!C117=$B$3)</x:f>
        <x:v>0</x:v>
      </x:c>
      <x:c r="D117" t="n">
        <x:f>--('01 Sensory Input'!D117=$B$3)</x:f>
        <x:v>0</x:v>
      </x:c>
      <x:c r="E117" t="n">
        <x:f>--('01 Sensory Input'!E117=$B$3)</x:f>
        <x:v>0</x:v>
      </x:c>
      <x:c r="F117" t="n">
        <x:f>--('01 Sensory Input'!F117=$B$3)</x:f>
        <x:v>0</x:v>
      </x:c>
      <x:c r="G117" t="n">
        <x:f>--('01 Sensory Input'!G117=$B$3)</x:f>
        <x:v>0</x:v>
      </x:c>
    </x:row>
    <x:row r="118">
      <x:c r="A118" t="n">
        <x:f>'01 Sensory Input'!A118</x:f>
        <x:v>6</x:v>
      </x:c>
      <x:c r="B118" t="n">
        <x:f>'01 Sensory Input'!B118</x:f>
        <x:v>13</x:v>
      </x:c>
      <x:c r="C118" t="n">
        <x:f>--('01 Sensory Input'!C118=$B$3)</x:f>
        <x:v>0</x:v>
      </x:c>
      <x:c r="D118" t="n">
        <x:f>--('01 Sensory Input'!D118=$B$3)</x:f>
        <x:v>0</x:v>
      </x:c>
      <x:c r="E118" t="n">
        <x:f>--('01 Sensory Input'!E118=$B$3)</x:f>
        <x:v>0</x:v>
      </x:c>
      <x:c r="F118" t="n">
        <x:f>--('01 Sensory Input'!F118=$B$3)</x:f>
        <x:v>0</x:v>
      </x:c>
      <x:c r="G118" t="n">
        <x:f>--('01 Sensory Input'!G118=$B$3)</x:f>
        <x:v>0</x:v>
      </x:c>
    </x:row>
    <x:row r="119">
      <x:c r="A119" t="n">
        <x:f>'01 Sensory Input'!A119</x:f>
        <x:v>6</x:v>
      </x:c>
      <x:c r="B119" t="n">
        <x:f>'01 Sensory Input'!B119</x:f>
        <x:v>14</x:v>
      </x:c>
      <x:c r="C119" t="n">
        <x:f>--('01 Sensory Input'!C119=$B$3)</x:f>
        <x:v>0</x:v>
      </x:c>
      <x:c r="D119" t="n">
        <x:f>--('01 Sensory Input'!D119=$B$3)</x:f>
        <x:v>1</x:v>
      </x:c>
      <x:c r="E119" t="n">
        <x:f>--('01 Sensory Input'!E119=$B$3)</x:f>
        <x:v>0</x:v>
      </x:c>
      <x:c r="F119" t="n">
        <x:f>--('01 Sensory Input'!F119=$B$3)</x:f>
        <x:v>0</x:v>
      </x:c>
      <x:c r="G119" t="n">
        <x:f>--('01 Sensory Input'!G119=$B$3)</x:f>
        <x:v>0</x:v>
      </x:c>
    </x:row>
    <x:row r="120">
      <x:c r="A120" t="n">
        <x:f>'01 Sensory Input'!A120</x:f>
        <x:v>6</x:v>
      </x:c>
      <x:c r="B120" t="n">
        <x:f>'01 Sensory Input'!B120</x:f>
        <x:v>15</x:v>
      </x:c>
      <x:c r="C120" t="n">
        <x:f>--('01 Sensory Input'!C120=$B$3)</x:f>
        <x:v>0</x:v>
      </x:c>
      <x:c r="D120" t="n">
        <x:f>--('01 Sensory Input'!D120=$B$3)</x:f>
        <x:v>0</x:v>
      </x:c>
      <x:c r="E120" t="n">
        <x:f>--('01 Sensory Input'!E120=$B$3)</x:f>
        <x:v>0</x:v>
      </x:c>
      <x:c r="F120" t="n">
        <x:f>--('01 Sensory Input'!F120=$B$3)</x:f>
        <x:v>0</x:v>
      </x:c>
      <x:c r="G120" t="n">
        <x:f>--('01 Sensory Input'!G120=$B$3)</x:f>
        <x:v>0</x:v>
      </x:c>
    </x:row>
    <x:row r="121">
      <x:c r="A121" t="n">
        <x:f>'01 Sensory Input'!A121</x:f>
        <x:v>6</x:v>
      </x:c>
      <x:c r="B121" t="n">
        <x:f>'01 Sensory Input'!B121</x:f>
        <x:v>16</x:v>
      </x:c>
      <x:c r="C121" t="n">
        <x:f>--('01 Sensory Input'!C121=$B$3)</x:f>
        <x:v>0</x:v>
      </x:c>
      <x:c r="D121" t="n">
        <x:f>--('01 Sensory Input'!D121=$B$3)</x:f>
        <x:v>0</x:v>
      </x:c>
      <x:c r="E121" t="n">
        <x:f>--('01 Sensory Input'!E121=$B$3)</x:f>
        <x:v>0</x:v>
      </x:c>
      <x:c r="F121" t="n">
        <x:f>--('01 Sensory Input'!F121=$B$3)</x:f>
        <x:v>0</x:v>
      </x:c>
      <x:c r="G121" t="n">
        <x:f>--('01 Sensory Input'!G121=$B$3)</x:f>
        <x:v>0</x:v>
      </x:c>
    </x:row>
    <x:row r="122">
      <x:c r="A122" t="n">
        <x:f>'01 Sensory Input'!A122</x:f>
        <x:v>6</x:v>
      </x:c>
      <x:c r="B122" t="n">
        <x:f>'01 Sensory Input'!B122</x:f>
        <x:v>17</x:v>
      </x:c>
      <x:c r="C122" t="n">
        <x:f>--('01 Sensory Input'!C122=$B$3)</x:f>
        <x:v>0</x:v>
      </x:c>
      <x:c r="D122" t="n">
        <x:f>--('01 Sensory Input'!D122=$B$3)</x:f>
        <x:v>0</x:v>
      </x:c>
      <x:c r="E122" t="n">
        <x:f>--('01 Sensory Input'!E122=$B$3)</x:f>
        <x:v>0</x:v>
      </x:c>
      <x:c r="F122" t="n">
        <x:f>--('01 Sensory Input'!F122=$B$3)</x:f>
        <x:v>0</x:v>
      </x:c>
      <x:c r="G122" t="n">
        <x:f>--('01 Sensory Input'!G122=$B$3)</x:f>
        <x:v>0</x:v>
      </x:c>
    </x:row>
    <x:row r="123">
      <x:c r="A123" t="n">
        <x:f>'01 Sensory Input'!A123</x:f>
        <x:v>6</x:v>
      </x:c>
      <x:c r="B123" t="n">
        <x:f>'01 Sensory Input'!B123</x:f>
        <x:v>18</x:v>
      </x:c>
      <x:c r="C123" t="n">
        <x:f>--('01 Sensory Input'!C123=$B$3)</x:f>
        <x:v>0</x:v>
      </x:c>
      <x:c r="D123" t="n">
        <x:f>--('01 Sensory Input'!D123=$B$3)</x:f>
        <x:v>0</x:v>
      </x:c>
      <x:c r="E123" t="n">
        <x:f>--('01 Sensory Input'!E123=$B$3)</x:f>
        <x:v>0</x:v>
      </x:c>
      <x:c r="F123" t="n">
        <x:f>--('01 Sensory Input'!F123=$B$3)</x:f>
        <x:v>0</x:v>
      </x:c>
      <x:c r="G123" t="n">
        <x:f>--('01 Sensory Input'!G123=$B$3)</x:f>
        <x:v>0</x:v>
      </x:c>
    </x:row>
    <x:row r="124">
      <x:c r="A124" t="n">
        <x:f>'01 Sensory Input'!A124</x:f>
        <x:v>6</x:v>
      </x:c>
      <x:c r="B124" t="n">
        <x:f>'01 Sensory Input'!B124</x:f>
        <x:v>19</x:v>
      </x:c>
      <x:c r="C124" t="n">
        <x:f>--('01 Sensory Input'!C124=$B$3)</x:f>
        <x:v>0</x:v>
      </x:c>
      <x:c r="D124" t="n">
        <x:f>--('01 Sensory Input'!D124=$B$3)</x:f>
        <x:v>0</x:v>
      </x:c>
      <x:c r="E124" t="n">
        <x:f>--('01 Sensory Input'!E124=$B$3)</x:f>
        <x:v>0</x:v>
      </x:c>
      <x:c r="F124" t="n">
        <x:f>--('01 Sensory Input'!F124=$B$3)</x:f>
        <x:v>0</x:v>
      </x:c>
      <x:c r="G124" t="n">
        <x:f>--('01 Sensory Input'!G124=$B$3)</x:f>
        <x:v>0</x:v>
      </x:c>
    </x:row>
    <x:row r="125">
      <x:c r="A125" t="n">
        <x:f>'01 Sensory Input'!A125</x:f>
        <x:v>6</x:v>
      </x:c>
      <x:c r="B125" t="n">
        <x:f>'01 Sensory Input'!B125</x:f>
        <x:v>20</x:v>
      </x:c>
      <x:c r="C125" t="n">
        <x:f>--('01 Sensory Input'!C125=$B$3)</x:f>
        <x:v>0</x:v>
      </x:c>
      <x:c r="D125" t="n">
        <x:f>--('01 Sensory Input'!D125=$B$3)</x:f>
        <x:v>0</x:v>
      </x:c>
      <x:c r="E125" t="n">
        <x:f>--('01 Sensory Input'!E125=$B$3)</x:f>
        <x:v>0</x:v>
      </x:c>
      <x:c r="F125" t="n">
        <x:f>--('01 Sensory Input'!F125=$B$3)</x:f>
        <x:v>0</x:v>
      </x:c>
      <x:c r="G125" t="n">
        <x:f>--('01 Sensory Input'!G125=$B$3)</x:f>
        <x:v>0</x:v>
      </x:c>
    </x:row>
    <x:row r="126">
      <x:c r="A126" t="n">
        <x:f>'01 Sensory Input'!A126</x:f>
        <x:v>7</x:v>
      </x:c>
      <x:c r="B126" t="n">
        <x:f>'01 Sensory Input'!B126</x:f>
        <x:v>1</x:v>
      </x:c>
      <x:c r="C126" t="n">
        <x:f>--('01 Sensory Input'!C126=$B$3)</x:f>
        <x:v>0</x:v>
      </x:c>
      <x:c r="D126" t="n">
        <x:f>--('01 Sensory Input'!D126=$B$3)</x:f>
        <x:v>0</x:v>
      </x:c>
      <x:c r="E126" t="n">
        <x:f>--('01 Sensory Input'!E126=$B$3)</x:f>
        <x:v>0</x:v>
      </x:c>
      <x:c r="F126" t="n">
        <x:f>--('01 Sensory Input'!F126=$B$3)</x:f>
        <x:v>0</x:v>
      </x:c>
      <x:c r="G126" t="n">
        <x:f>--('01 Sensory Input'!G126=$B$3)</x:f>
        <x:v>0</x:v>
      </x:c>
    </x:row>
    <x:row r="127">
      <x:c r="A127" t="n">
        <x:f>'01 Sensory Input'!A127</x:f>
        <x:v>7</x:v>
      </x:c>
      <x:c r="B127" t="n">
        <x:f>'01 Sensory Input'!B127</x:f>
        <x:v>2</x:v>
      </x:c>
      <x:c r="C127" t="n">
        <x:f>--('01 Sensory Input'!C127=$B$3)</x:f>
        <x:v>0</x:v>
      </x:c>
      <x:c r="D127" t="n">
        <x:f>--('01 Sensory Input'!D127=$B$3)</x:f>
        <x:v>0</x:v>
      </x:c>
      <x:c r="E127" t="n">
        <x:f>--('01 Sensory Input'!E127=$B$3)</x:f>
        <x:v>0</x:v>
      </x:c>
      <x:c r="F127" t="n">
        <x:f>--('01 Sensory Input'!F127=$B$3)</x:f>
        <x:v>0</x:v>
      </x:c>
      <x:c r="G127" t="n">
        <x:f>--('01 Sensory Input'!G127=$B$3)</x:f>
        <x:v>0</x:v>
      </x:c>
    </x:row>
    <x:row r="128">
      <x:c r="A128" t="n">
        <x:f>'01 Sensory Input'!A128</x:f>
        <x:v>7</x:v>
      </x:c>
      <x:c r="B128" t="n">
        <x:f>'01 Sensory Input'!B128</x:f>
        <x:v>3</x:v>
      </x:c>
      <x:c r="C128" t="n">
        <x:f>--('01 Sensory Input'!C128=$B$3)</x:f>
        <x:v>0</x:v>
      </x:c>
      <x:c r="D128" t="n">
        <x:f>--('01 Sensory Input'!D128=$B$3)</x:f>
        <x:v>0</x:v>
      </x:c>
      <x:c r="E128" t="n">
        <x:f>--('01 Sensory Input'!E128=$B$3)</x:f>
        <x:v>0</x:v>
      </x:c>
      <x:c r="F128" t="n">
        <x:f>--('01 Sensory Input'!F128=$B$3)</x:f>
        <x:v>0</x:v>
      </x:c>
      <x:c r="G128" t="n">
        <x:f>--('01 Sensory Input'!G128=$B$3)</x:f>
        <x:v>0</x:v>
      </x:c>
    </x:row>
    <x:row r="129">
      <x:c r="A129" t="n">
        <x:f>'01 Sensory Input'!A129</x:f>
        <x:v>7</x:v>
      </x:c>
      <x:c r="B129" t="n">
        <x:f>'01 Sensory Input'!B129</x:f>
        <x:v>4</x:v>
      </x:c>
      <x:c r="C129" t="n">
        <x:f>--('01 Sensory Input'!C129=$B$3)</x:f>
        <x:v>0</x:v>
      </x:c>
      <x:c r="D129" t="n">
        <x:f>--('01 Sensory Input'!D129=$B$3)</x:f>
        <x:v>0</x:v>
      </x:c>
      <x:c r="E129" t="n">
        <x:f>--('01 Sensory Input'!E129=$B$3)</x:f>
        <x:v>0</x:v>
      </x:c>
      <x:c r="F129" t="n">
        <x:f>--('01 Sensory Input'!F129=$B$3)</x:f>
        <x:v>0</x:v>
      </x:c>
      <x:c r="G129" t="n">
        <x:f>--('01 Sensory Input'!G129=$B$3)</x:f>
        <x:v>0</x:v>
      </x:c>
    </x:row>
    <x:row r="130">
      <x:c r="A130" t="n">
        <x:f>'01 Sensory Input'!A130</x:f>
        <x:v>7</x:v>
      </x:c>
      <x:c r="B130" t="n">
        <x:f>'01 Sensory Input'!B130</x:f>
        <x:v>5</x:v>
      </x:c>
      <x:c r="C130" t="n">
        <x:f>--('01 Sensory Input'!C130=$B$3)</x:f>
        <x:v>0</x:v>
      </x:c>
      <x:c r="D130" t="n">
        <x:f>--('01 Sensory Input'!D130=$B$3)</x:f>
        <x:v>0</x:v>
      </x:c>
      <x:c r="E130" t="n">
        <x:f>--('01 Sensory Input'!E130=$B$3)</x:f>
        <x:v>0</x:v>
      </x:c>
      <x:c r="F130" t="n">
        <x:f>--('01 Sensory Input'!F130=$B$3)</x:f>
        <x:v>0</x:v>
      </x:c>
      <x:c r="G130" t="n">
        <x:f>--('01 Sensory Input'!G130=$B$3)</x:f>
        <x:v>0</x:v>
      </x:c>
    </x:row>
    <x:row r="131">
      <x:c r="A131" t="n">
        <x:f>'01 Sensory Input'!A131</x:f>
        <x:v>7</x:v>
      </x:c>
      <x:c r="B131" t="n">
        <x:f>'01 Sensory Input'!B131</x:f>
        <x:v>6</x:v>
      </x:c>
      <x:c r="C131" t="n">
        <x:f>--('01 Sensory Input'!C131=$B$3)</x:f>
        <x:v>0</x:v>
      </x:c>
      <x:c r="D131" t="n">
        <x:f>--('01 Sensory Input'!D131=$B$3)</x:f>
        <x:v>0</x:v>
      </x:c>
      <x:c r="E131" t="n">
        <x:f>--('01 Sensory Input'!E131=$B$3)</x:f>
        <x:v>0</x:v>
      </x:c>
      <x:c r="F131" t="n">
        <x:f>--('01 Sensory Input'!F131=$B$3)</x:f>
        <x:v>0</x:v>
      </x:c>
      <x:c r="G131" t="n">
        <x:f>--('01 Sensory Input'!G131=$B$3)</x:f>
        <x:v>0</x:v>
      </x:c>
    </x:row>
    <x:row r="132">
      <x:c r="A132" t="n">
        <x:f>'01 Sensory Input'!A132</x:f>
        <x:v>7</x:v>
      </x:c>
      <x:c r="B132" t="n">
        <x:f>'01 Sensory Input'!B132</x:f>
        <x:v>7</x:v>
      </x:c>
      <x:c r="C132" t="n">
        <x:f>--('01 Sensory Input'!C132=$B$3)</x:f>
        <x:v>0</x:v>
      </x:c>
      <x:c r="D132" t="n">
        <x:f>--('01 Sensory Input'!D132=$B$3)</x:f>
        <x:v>0</x:v>
      </x:c>
      <x:c r="E132" t="n">
        <x:f>--('01 Sensory Input'!E132=$B$3)</x:f>
        <x:v>0</x:v>
      </x:c>
      <x:c r="F132" t="n">
        <x:f>--('01 Sensory Input'!F132=$B$3)</x:f>
        <x:v>0</x:v>
      </x:c>
      <x:c r="G132" t="n">
        <x:f>--('01 Sensory Input'!G132=$B$3)</x:f>
        <x:v>0</x:v>
      </x:c>
    </x:row>
    <x:row r="133">
      <x:c r="A133" t="n">
        <x:f>'01 Sensory Input'!A133</x:f>
        <x:v>7</x:v>
      </x:c>
      <x:c r="B133" t="n">
        <x:f>'01 Sensory Input'!B133</x:f>
        <x:v>8</x:v>
      </x:c>
      <x:c r="C133" t="n">
        <x:f>--('01 Sensory Input'!C133=$B$3)</x:f>
        <x:v>0</x:v>
      </x:c>
      <x:c r="D133" t="n">
        <x:f>--('01 Sensory Input'!D133=$B$3)</x:f>
        <x:v>0</x:v>
      </x:c>
      <x:c r="E133" t="n">
        <x:f>--('01 Sensory Input'!E133=$B$3)</x:f>
        <x:v>0</x:v>
      </x:c>
      <x:c r="F133" t="n">
        <x:f>--('01 Sensory Input'!F133=$B$3)</x:f>
        <x:v>0</x:v>
      </x:c>
      <x:c r="G133" t="n">
        <x:f>--('01 Sensory Input'!G133=$B$3)</x:f>
        <x:v>0</x:v>
      </x:c>
    </x:row>
    <x:row r="134">
      <x:c r="A134" t="n">
        <x:f>'01 Sensory Input'!A134</x:f>
        <x:v>7</x:v>
      </x:c>
      <x:c r="B134" t="n">
        <x:f>'01 Sensory Input'!B134</x:f>
        <x:v>9</x:v>
      </x:c>
      <x:c r="C134" t="n">
        <x:f>--('01 Sensory Input'!C134=$B$3)</x:f>
        <x:v>0</x:v>
      </x:c>
      <x:c r="D134" t="n">
        <x:f>--('01 Sensory Input'!D134=$B$3)</x:f>
        <x:v>0</x:v>
      </x:c>
      <x:c r="E134" t="n">
        <x:f>--('01 Sensory Input'!E134=$B$3)</x:f>
        <x:v>0</x:v>
      </x:c>
      <x:c r="F134" t="n">
        <x:f>--('01 Sensory Input'!F134=$B$3)</x:f>
        <x:v>0</x:v>
      </x:c>
      <x:c r="G134" t="n">
        <x:f>--('01 Sensory Input'!G134=$B$3)</x:f>
        <x:v>0</x:v>
      </x:c>
    </x:row>
    <x:row r="135">
      <x:c r="A135" t="n">
        <x:f>'01 Sensory Input'!A135</x:f>
        <x:v>7</x:v>
      </x:c>
      <x:c r="B135" t="n">
        <x:f>'01 Sensory Input'!B135</x:f>
        <x:v>10</x:v>
      </x:c>
      <x:c r="C135" t="n">
        <x:f>--('01 Sensory Input'!C135=$B$3)</x:f>
        <x:v>0</x:v>
      </x:c>
      <x:c r="D135" t="n">
        <x:f>--('01 Sensory Input'!D135=$B$3)</x:f>
        <x:v>0</x:v>
      </x:c>
      <x:c r="E135" t="n">
        <x:f>--('01 Sensory Input'!E135=$B$3)</x:f>
        <x:v>0</x:v>
      </x:c>
      <x:c r="F135" t="n">
        <x:f>--('01 Sensory Input'!F135=$B$3)</x:f>
        <x:v>0</x:v>
      </x:c>
      <x:c r="G135" t="n">
        <x:f>--('01 Sensory Input'!G135=$B$3)</x:f>
        <x:v>0</x:v>
      </x:c>
    </x:row>
    <x:row r="136">
      <x:c r="A136" t="n">
        <x:f>'01 Sensory Input'!A136</x:f>
        <x:v>7</x:v>
      </x:c>
      <x:c r="B136" t="n">
        <x:f>'01 Sensory Input'!B136</x:f>
        <x:v>11</x:v>
      </x:c>
      <x:c r="C136" t="n">
        <x:f>--('01 Sensory Input'!C136=$B$3)</x:f>
        <x:v>0</x:v>
      </x:c>
      <x:c r="D136" t="n">
        <x:f>--('01 Sensory Input'!D136=$B$3)</x:f>
        <x:v>0</x:v>
      </x:c>
      <x:c r="E136" t="n">
        <x:f>--('01 Sensory Input'!E136=$B$3)</x:f>
        <x:v>0</x:v>
      </x:c>
      <x:c r="F136" t="n">
        <x:f>--('01 Sensory Input'!F136=$B$3)</x:f>
        <x:v>0</x:v>
      </x:c>
      <x:c r="G136" t="n">
        <x:f>--('01 Sensory Input'!G136=$B$3)</x:f>
        <x:v>0</x:v>
      </x:c>
    </x:row>
    <x:row r="137">
      <x:c r="A137" t="n">
        <x:f>'01 Sensory Input'!A137</x:f>
        <x:v>7</x:v>
      </x:c>
      <x:c r="B137" t="n">
        <x:f>'01 Sensory Input'!B137</x:f>
        <x:v>12</x:v>
      </x:c>
      <x:c r="C137" t="n">
        <x:f>--('01 Sensory Input'!C137=$B$3)</x:f>
        <x:v>0</x:v>
      </x:c>
      <x:c r="D137" t="n">
        <x:f>--('01 Sensory Input'!D137=$B$3)</x:f>
        <x:v>0</x:v>
      </x:c>
      <x:c r="E137" t="n">
        <x:f>--('01 Sensory Input'!E137=$B$3)</x:f>
        <x:v>0</x:v>
      </x:c>
      <x:c r="F137" t="n">
        <x:f>--('01 Sensory Input'!F137=$B$3)</x:f>
        <x:v>0</x:v>
      </x:c>
      <x:c r="G137" t="n">
        <x:f>--('01 Sensory Input'!G137=$B$3)</x:f>
        <x:v>0</x:v>
      </x:c>
    </x:row>
    <x:row r="138">
      <x:c r="A138" t="n">
        <x:f>'01 Sensory Input'!A138</x:f>
        <x:v>7</x:v>
      </x:c>
      <x:c r="B138" t="n">
        <x:f>'01 Sensory Input'!B138</x:f>
        <x:v>13</x:v>
      </x:c>
      <x:c r="C138" t="n">
        <x:f>--('01 Sensory Input'!C138=$B$3)</x:f>
        <x:v>0</x:v>
      </x:c>
      <x:c r="D138" t="n">
        <x:f>--('01 Sensory Input'!D138=$B$3)</x:f>
        <x:v>0</x:v>
      </x:c>
      <x:c r="E138" t="n">
        <x:f>--('01 Sensory Input'!E138=$B$3)</x:f>
        <x:v>0</x:v>
      </x:c>
      <x:c r="F138" t="n">
        <x:f>--('01 Sensory Input'!F138=$B$3)</x:f>
        <x:v>0</x:v>
      </x:c>
      <x:c r="G138" t="n">
        <x:f>--('01 Sensory Input'!G138=$B$3)</x:f>
        <x:v>0</x:v>
      </x:c>
    </x:row>
    <x:row r="139">
      <x:c r="A139" t="n">
        <x:f>'01 Sensory Input'!A139</x:f>
        <x:v>7</x:v>
      </x:c>
      <x:c r="B139" t="n">
        <x:f>'01 Sensory Input'!B139</x:f>
        <x:v>14</x:v>
      </x:c>
      <x:c r="C139" t="n">
        <x:f>--('01 Sensory Input'!C139=$B$3)</x:f>
        <x:v>0</x:v>
      </x:c>
      <x:c r="D139" t="n">
        <x:f>--('01 Sensory Input'!D139=$B$3)</x:f>
        <x:v>0</x:v>
      </x:c>
      <x:c r="E139" t="n">
        <x:f>--('01 Sensory Input'!E139=$B$3)</x:f>
        <x:v>0</x:v>
      </x:c>
      <x:c r="F139" t="n">
        <x:f>--('01 Sensory Input'!F139=$B$3)</x:f>
        <x:v>0</x:v>
      </x:c>
      <x:c r="G139" t="n">
        <x:f>--('01 Sensory Input'!G139=$B$3)</x:f>
        <x:v>0</x:v>
      </x:c>
    </x:row>
    <x:row r="140">
      <x:c r="A140" t="n">
        <x:f>'01 Sensory Input'!A140</x:f>
        <x:v>7</x:v>
      </x:c>
      <x:c r="B140" t="n">
        <x:f>'01 Sensory Input'!B140</x:f>
        <x:v>15</x:v>
      </x:c>
      <x:c r="C140" t="n">
        <x:f>--('01 Sensory Input'!C140=$B$3)</x:f>
        <x:v>0</x:v>
      </x:c>
      <x:c r="D140" t="n">
        <x:f>--('01 Sensory Input'!D140=$B$3)</x:f>
        <x:v>0</x:v>
      </x:c>
      <x:c r="E140" t="n">
        <x:f>--('01 Sensory Input'!E140=$B$3)</x:f>
        <x:v>0</x:v>
      </x:c>
      <x:c r="F140" t="n">
        <x:f>--('01 Sensory Input'!F140=$B$3)</x:f>
        <x:v>0</x:v>
      </x:c>
      <x:c r="G140" t="n">
        <x:f>--('01 Sensory Input'!G140=$B$3)</x:f>
        <x:v>0</x:v>
      </x:c>
    </x:row>
    <x:row r="141">
      <x:c r="A141" t="n">
        <x:f>'01 Sensory Input'!A141</x:f>
        <x:v>7</x:v>
      </x:c>
      <x:c r="B141" t="n">
        <x:f>'01 Sensory Input'!B141</x:f>
        <x:v>16</x:v>
      </x:c>
      <x:c r="C141" t="n">
        <x:f>--('01 Sensory Input'!C141=$B$3)</x:f>
        <x:v>0</x:v>
      </x:c>
      <x:c r="D141" t="n">
        <x:f>--('01 Sensory Input'!D141=$B$3)</x:f>
        <x:v>0</x:v>
      </x:c>
      <x:c r="E141" t="n">
        <x:f>--('01 Sensory Input'!E141=$B$3)</x:f>
        <x:v>0</x:v>
      </x:c>
      <x:c r="F141" t="n">
        <x:f>--('01 Sensory Input'!F141=$B$3)</x:f>
        <x:v>0</x:v>
      </x:c>
      <x:c r="G141" t="n">
        <x:f>--('01 Sensory Input'!G141=$B$3)</x:f>
        <x:v>0</x:v>
      </x:c>
    </x:row>
    <x:row r="142">
      <x:c r="A142" t="n">
        <x:f>'01 Sensory Input'!A142</x:f>
        <x:v>7</x:v>
      </x:c>
      <x:c r="B142" t="n">
        <x:f>'01 Sensory Input'!B142</x:f>
        <x:v>17</x:v>
      </x:c>
      <x:c r="C142" t="n">
        <x:f>--('01 Sensory Input'!C142=$B$3)</x:f>
        <x:v>0</x:v>
      </x:c>
      <x:c r="D142" t="n">
        <x:f>--('01 Sensory Input'!D142=$B$3)</x:f>
        <x:v>0</x:v>
      </x:c>
      <x:c r="E142" t="n">
        <x:f>--('01 Sensory Input'!E142=$B$3)</x:f>
        <x:v>0</x:v>
      </x:c>
      <x:c r="F142" t="n">
        <x:f>--('01 Sensory Input'!F142=$B$3)</x:f>
        <x:v>0</x:v>
      </x:c>
      <x:c r="G142" t="n">
        <x:f>--('01 Sensory Input'!G142=$B$3)</x:f>
        <x:v>0</x:v>
      </x:c>
    </x:row>
    <x:row r="143">
      <x:c r="A143" t="n">
        <x:f>'01 Sensory Input'!A143</x:f>
        <x:v>7</x:v>
      </x:c>
      <x:c r="B143" t="n">
        <x:f>'01 Sensory Input'!B143</x:f>
        <x:v>18</x:v>
      </x:c>
      <x:c r="C143" t="n">
        <x:f>--('01 Sensory Input'!C143=$B$3)</x:f>
        <x:v>0</x:v>
      </x:c>
      <x:c r="D143" t="n">
        <x:f>--('01 Sensory Input'!D143=$B$3)</x:f>
        <x:v>0</x:v>
      </x:c>
      <x:c r="E143" t="n">
        <x:f>--('01 Sensory Input'!E143=$B$3)</x:f>
        <x:v>0</x:v>
      </x:c>
      <x:c r="F143" t="n">
        <x:f>--('01 Sensory Input'!F143=$B$3)</x:f>
        <x:v>0</x:v>
      </x:c>
      <x:c r="G143" t="n">
        <x:f>--('01 Sensory Input'!G143=$B$3)</x:f>
        <x:v>0</x:v>
      </x:c>
    </x:row>
    <x:row r="144">
      <x:c r="A144" t="n">
        <x:f>'01 Sensory Input'!A144</x:f>
        <x:v>7</x:v>
      </x:c>
      <x:c r="B144" t="n">
        <x:f>'01 Sensory Input'!B144</x:f>
        <x:v>19</x:v>
      </x:c>
      <x:c r="C144" t="n">
        <x:f>--('01 Sensory Input'!C144=$B$3)</x:f>
        <x:v>0</x:v>
      </x:c>
      <x:c r="D144" t="n">
        <x:f>--('01 Sensory Input'!D144=$B$3)</x:f>
        <x:v>0</x:v>
      </x:c>
      <x:c r="E144" t="n">
        <x:f>--('01 Sensory Input'!E144=$B$3)</x:f>
        <x:v>0</x:v>
      </x:c>
      <x:c r="F144" t="n">
        <x:f>--('01 Sensory Input'!F144=$B$3)</x:f>
        <x:v>0</x:v>
      </x:c>
      <x:c r="G144" t="n">
        <x:f>--('01 Sensory Input'!G144=$B$3)</x:f>
        <x:v>0</x:v>
      </x:c>
    </x:row>
    <x:row r="145">
      <x:c r="A145" t="n">
        <x:f>'01 Sensory Input'!A145</x:f>
        <x:v>7</x:v>
      </x:c>
      <x:c r="B145" t="n">
        <x:f>'01 Sensory Input'!B145</x:f>
        <x:v>20</x:v>
      </x:c>
      <x:c r="C145" t="n">
        <x:f>--('01 Sensory Input'!C145=$B$3)</x:f>
        <x:v>0</x:v>
      </x:c>
      <x:c r="D145" t="n">
        <x:f>--('01 Sensory Input'!D145=$B$3)</x:f>
        <x:v>0</x:v>
      </x:c>
      <x:c r="E145" t="n">
        <x:f>--('01 Sensory Input'!E145=$B$3)</x:f>
        <x:v>0</x:v>
      </x:c>
      <x:c r="F145" t="n">
        <x:f>--('01 Sensory Input'!F145=$B$3)</x:f>
        <x:v>0</x:v>
      </x:c>
      <x:c r="G145" t="n">
        <x:f>--('01 Sensory Input'!G145=$B$3)</x:f>
        <x:v>0</x:v>
      </x:c>
    </x:row>
    <x:row r="146">
      <x:c r="A146" t="n">
        <x:f>'01 Sensory Input'!A146</x:f>
        <x:v>8</x:v>
      </x:c>
      <x:c r="B146" t="n">
        <x:f>'01 Sensory Input'!B146</x:f>
        <x:v>1</x:v>
      </x:c>
      <x:c r="C146" t="n">
        <x:f>--('01 Sensory Input'!C146=$B$3)</x:f>
        <x:v>0</x:v>
      </x:c>
      <x:c r="D146" t="n">
        <x:f>--('01 Sensory Input'!D146=$B$3)</x:f>
        <x:v>0</x:v>
      </x:c>
      <x:c r="E146" t="n">
        <x:f>--('01 Sensory Input'!E146=$B$3)</x:f>
        <x:v>0</x:v>
      </x:c>
      <x:c r="F146" t="n">
        <x:f>--('01 Sensory Input'!F146=$B$3)</x:f>
        <x:v>0</x:v>
      </x:c>
      <x:c r="G146" t="n">
        <x:f>--('01 Sensory Input'!G146=$B$3)</x:f>
        <x:v>0</x:v>
      </x:c>
    </x:row>
    <x:row r="147">
      <x:c r="A147" t="n">
        <x:f>'01 Sensory Input'!A147</x:f>
        <x:v>8</x:v>
      </x:c>
      <x:c r="B147" t="n">
        <x:f>'01 Sensory Input'!B147</x:f>
        <x:v>2</x:v>
      </x:c>
      <x:c r="C147" t="n">
        <x:f>--('01 Sensory Input'!C147=$B$3)</x:f>
        <x:v>0</x:v>
      </x:c>
      <x:c r="D147" t="n">
        <x:f>--('01 Sensory Input'!D147=$B$3)</x:f>
        <x:v>0</x:v>
      </x:c>
      <x:c r="E147" t="n">
        <x:f>--('01 Sensory Input'!E147=$B$3)</x:f>
        <x:v>0</x:v>
      </x:c>
      <x:c r="F147" t="n">
        <x:f>--('01 Sensory Input'!F147=$B$3)</x:f>
        <x:v>0</x:v>
      </x:c>
      <x:c r="G147" t="n">
        <x:f>--('01 Sensory Input'!G147=$B$3)</x:f>
        <x:v>0</x:v>
      </x:c>
    </x:row>
    <x:row r="148">
      <x:c r="A148" t="n">
        <x:f>'01 Sensory Input'!A148</x:f>
        <x:v>8</x:v>
      </x:c>
      <x:c r="B148" t="n">
        <x:f>'01 Sensory Input'!B148</x:f>
        <x:v>3</x:v>
      </x:c>
      <x:c r="C148" t="n">
        <x:f>--('01 Sensory Input'!C148=$B$3)</x:f>
        <x:v>0</x:v>
      </x:c>
      <x:c r="D148" t="n">
        <x:f>--('01 Sensory Input'!D148=$B$3)</x:f>
        <x:v>0</x:v>
      </x:c>
      <x:c r="E148" t="n">
        <x:f>--('01 Sensory Input'!E148=$B$3)</x:f>
        <x:v>0</x:v>
      </x:c>
      <x:c r="F148" t="n">
        <x:f>--('01 Sensory Input'!F148=$B$3)</x:f>
        <x:v>0</x:v>
      </x:c>
      <x:c r="G148" t="n">
        <x:f>--('01 Sensory Input'!G148=$B$3)</x:f>
        <x:v>0</x:v>
      </x:c>
    </x:row>
    <x:row r="149">
      <x:c r="A149" t="n">
        <x:f>'01 Sensory Input'!A149</x:f>
        <x:v>8</x:v>
      </x:c>
      <x:c r="B149" t="n">
        <x:f>'01 Sensory Input'!B149</x:f>
        <x:v>4</x:v>
      </x:c>
      <x:c r="C149" t="n">
        <x:f>--('01 Sensory Input'!C149=$B$3)</x:f>
        <x:v>1</x:v>
      </x:c>
      <x:c r="D149" t="n">
        <x:f>--('01 Sensory Input'!D149=$B$3)</x:f>
        <x:v>0</x:v>
      </x:c>
      <x:c r="E149" t="n">
        <x:f>--('01 Sensory Input'!E149=$B$3)</x:f>
        <x:v>0</x:v>
      </x:c>
      <x:c r="F149" t="n">
        <x:f>--('01 Sensory Input'!F149=$B$3)</x:f>
        <x:v>0</x:v>
      </x:c>
      <x:c r="G149" t="n">
        <x:f>--('01 Sensory Input'!G149=$B$3)</x:f>
        <x:v>0</x:v>
      </x:c>
    </x:row>
    <x:row r="150">
      <x:c r="A150" t="n">
        <x:f>'01 Sensory Input'!A150</x:f>
        <x:v>8</x:v>
      </x:c>
      <x:c r="B150" t="n">
        <x:f>'01 Sensory Input'!B150</x:f>
        <x:v>5</x:v>
      </x:c>
      <x:c r="C150" t="n">
        <x:f>--('01 Sensory Input'!C150=$B$3)</x:f>
        <x:v>0</x:v>
      </x:c>
      <x:c r="D150" t="n">
        <x:f>--('01 Sensory Input'!D150=$B$3)</x:f>
        <x:v>1</x:v>
      </x:c>
      <x:c r="E150" t="n">
        <x:f>--('01 Sensory Input'!E150=$B$3)</x:f>
        <x:v>0</x:v>
      </x:c>
      <x:c r="F150" t="n">
        <x:f>--('01 Sensory Input'!F150=$B$3)</x:f>
        <x:v>0</x:v>
      </x:c>
      <x:c r="G150" t="n">
        <x:f>--('01 Sensory Input'!G150=$B$3)</x:f>
        <x:v>0</x:v>
      </x:c>
    </x:row>
    <x:row r="151">
      <x:c r="A151" t="n">
        <x:f>'01 Sensory Input'!A151</x:f>
        <x:v>8</x:v>
      </x:c>
      <x:c r="B151" t="n">
        <x:f>'01 Sensory Input'!B151</x:f>
        <x:v>6</x:v>
      </x:c>
      <x:c r="C151" t="n">
        <x:f>--('01 Sensory Input'!C151=$B$3)</x:f>
        <x:v>0</x:v>
      </x:c>
      <x:c r="D151" t="n">
        <x:f>--('01 Sensory Input'!D151=$B$3)</x:f>
        <x:v>0</x:v>
      </x:c>
      <x:c r="E151" t="n">
        <x:f>--('01 Sensory Input'!E151=$B$3)</x:f>
        <x:v>0</x:v>
      </x:c>
      <x:c r="F151" t="n">
        <x:f>--('01 Sensory Input'!F151=$B$3)</x:f>
        <x:v>0</x:v>
      </x:c>
      <x:c r="G151" t="n">
        <x:f>--('01 Sensory Input'!G151=$B$3)</x:f>
        <x:v>0</x:v>
      </x:c>
    </x:row>
    <x:row r="152">
      <x:c r="A152" t="n">
        <x:f>'01 Sensory Input'!A152</x:f>
        <x:v>8</x:v>
      </x:c>
      <x:c r="B152" t="n">
        <x:f>'01 Sensory Input'!B152</x:f>
        <x:v>7</x:v>
      </x:c>
      <x:c r="C152" t="n">
        <x:f>--('01 Sensory Input'!C152=$B$3)</x:f>
        <x:v>0</x:v>
      </x:c>
      <x:c r="D152" t="n">
        <x:f>--('01 Sensory Input'!D152=$B$3)</x:f>
        <x:v>0</x:v>
      </x:c>
      <x:c r="E152" t="n">
        <x:f>--('01 Sensory Input'!E152=$B$3)</x:f>
        <x:v>0</x:v>
      </x:c>
      <x:c r="F152" t="n">
        <x:f>--('01 Sensory Input'!F152=$B$3)</x:f>
        <x:v>0</x:v>
      </x:c>
      <x:c r="G152" t="n">
        <x:f>--('01 Sensory Input'!G152=$B$3)</x:f>
        <x:v>0</x:v>
      </x:c>
    </x:row>
    <x:row r="153">
      <x:c r="A153" t="n">
        <x:f>'01 Sensory Input'!A153</x:f>
        <x:v>8</x:v>
      </x:c>
      <x:c r="B153" t="n">
        <x:f>'01 Sensory Input'!B153</x:f>
        <x:v>8</x:v>
      </x:c>
      <x:c r="C153" t="n">
        <x:f>--('01 Sensory Input'!C153=$B$3)</x:f>
        <x:v>1</x:v>
      </x:c>
      <x:c r="D153" t="n">
        <x:f>--('01 Sensory Input'!D153=$B$3)</x:f>
        <x:v>0</x:v>
      </x:c>
      <x:c r="E153" t="n">
        <x:f>--('01 Sensory Input'!E153=$B$3)</x:f>
        <x:v>0</x:v>
      </x:c>
      <x:c r="F153" t="n">
        <x:f>--('01 Sensory Input'!F153=$B$3)</x:f>
        <x:v>0</x:v>
      </x:c>
      <x:c r="G153" t="n">
        <x:f>--('01 Sensory Input'!G153=$B$3)</x:f>
        <x:v>0</x:v>
      </x:c>
    </x:row>
    <x:row r="154">
      <x:c r="A154" t="n">
        <x:f>'01 Sensory Input'!A154</x:f>
        <x:v>8</x:v>
      </x:c>
      <x:c r="B154" t="n">
        <x:f>'01 Sensory Input'!B154</x:f>
        <x:v>9</x:v>
      </x:c>
      <x:c r="C154" t="n">
        <x:f>--('01 Sensory Input'!C154=$B$3)</x:f>
        <x:v>0</x:v>
      </x:c>
      <x:c r="D154" t="n">
        <x:f>--('01 Sensory Input'!D154=$B$3)</x:f>
        <x:v>0</x:v>
      </x:c>
      <x:c r="E154" t="n">
        <x:f>--('01 Sensory Input'!E154=$B$3)</x:f>
        <x:v>0</x:v>
      </x:c>
      <x:c r="F154" t="n">
        <x:f>--('01 Sensory Input'!F154=$B$3)</x:f>
        <x:v>0</x:v>
      </x:c>
      <x:c r="G154" t="n">
        <x:f>--('01 Sensory Input'!G154=$B$3)</x:f>
        <x:v>0</x:v>
      </x:c>
    </x:row>
    <x:row r="155">
      <x:c r="A155" t="n">
        <x:f>'01 Sensory Input'!A155</x:f>
        <x:v>8</x:v>
      </x:c>
      <x:c r="B155" t="n">
        <x:f>'01 Sensory Input'!B155</x:f>
        <x:v>10</x:v>
      </x:c>
      <x:c r="C155" t="n">
        <x:f>--('01 Sensory Input'!C155=$B$3)</x:f>
        <x:v>0</x:v>
      </x:c>
      <x:c r="D155" t="n">
        <x:f>--('01 Sensory Input'!D155=$B$3)</x:f>
        <x:v>1</x:v>
      </x:c>
      <x:c r="E155" t="n">
        <x:f>--('01 Sensory Input'!E155=$B$3)</x:f>
        <x:v>0</x:v>
      </x:c>
      <x:c r="F155" t="n">
        <x:f>--('01 Sensory Input'!F155=$B$3)</x:f>
        <x:v>0</x:v>
      </x:c>
      <x:c r="G155" t="n">
        <x:f>--('01 Sensory Input'!G155=$B$3)</x:f>
        <x:v>0</x:v>
      </x:c>
    </x:row>
    <x:row r="156">
      <x:c r="A156" t="n">
        <x:f>'01 Sensory Input'!A156</x:f>
        <x:v>8</x:v>
      </x:c>
      <x:c r="B156" t="n">
        <x:f>'01 Sensory Input'!B156</x:f>
        <x:v>11</x:v>
      </x:c>
      <x:c r="C156" t="n">
        <x:f>--('01 Sensory Input'!C156=$B$3)</x:f>
        <x:v>0</x:v>
      </x:c>
      <x:c r="D156" t="n">
        <x:f>--('01 Sensory Input'!D156=$B$3)</x:f>
        <x:v>0</x:v>
      </x:c>
      <x:c r="E156" t="n">
        <x:f>--('01 Sensory Input'!E156=$B$3)</x:f>
        <x:v>0</x:v>
      </x:c>
      <x:c r="F156" t="n">
        <x:f>--('01 Sensory Input'!F156=$B$3)</x:f>
        <x:v>0</x:v>
      </x:c>
      <x:c r="G156" t="n">
        <x:f>--('01 Sensory Input'!G156=$B$3)</x:f>
        <x:v>0</x:v>
      </x:c>
    </x:row>
    <x:row r="157">
      <x:c r="A157" t="n">
        <x:f>'01 Sensory Input'!A157</x:f>
        <x:v>8</x:v>
      </x:c>
      <x:c r="B157" t="n">
        <x:f>'01 Sensory Input'!B157</x:f>
        <x:v>12</x:v>
      </x:c>
      <x:c r="C157" t="n">
        <x:f>--('01 Sensory Input'!C157=$B$3)</x:f>
        <x:v>1</x:v>
      </x:c>
      <x:c r="D157" t="n">
        <x:f>--('01 Sensory Input'!D157=$B$3)</x:f>
        <x:v>0</x:v>
      </x:c>
      <x:c r="E157" t="n">
        <x:f>--('01 Sensory Input'!E157=$B$3)</x:f>
        <x:v>0</x:v>
      </x:c>
      <x:c r="F157" t="n">
        <x:f>--('01 Sensory Input'!F157=$B$3)</x:f>
        <x:v>0</x:v>
      </x:c>
      <x:c r="G157" t="n">
        <x:f>--('01 Sensory Input'!G157=$B$3)</x:f>
        <x:v>0</x:v>
      </x:c>
    </x:row>
    <x:row r="158">
      <x:c r="A158" t="n">
        <x:f>'01 Sensory Input'!A158</x:f>
        <x:v>8</x:v>
      </x:c>
      <x:c r="B158" t="n">
        <x:f>'01 Sensory Input'!B158</x:f>
        <x:v>13</x:v>
      </x:c>
      <x:c r="C158" t="n">
        <x:f>--('01 Sensory Input'!C158=$B$3)</x:f>
        <x:v>0</x:v>
      </x:c>
      <x:c r="D158" t="n">
        <x:f>--('01 Sensory Input'!D158=$B$3)</x:f>
        <x:v>0</x:v>
      </x:c>
      <x:c r="E158" t="n">
        <x:f>--('01 Sensory Input'!E158=$B$3)</x:f>
        <x:v>0</x:v>
      </x:c>
      <x:c r="F158" t="n">
        <x:f>--('01 Sensory Input'!F158=$B$3)</x:f>
        <x:v>0</x:v>
      </x:c>
      <x:c r="G158" t="n">
        <x:f>--('01 Sensory Input'!G158=$B$3)</x:f>
        <x:v>0</x:v>
      </x:c>
    </x:row>
    <x:row r="159">
      <x:c r="A159" t="n">
        <x:f>'01 Sensory Input'!A159</x:f>
        <x:v>8</x:v>
      </x:c>
      <x:c r="B159" t="n">
        <x:f>'01 Sensory Input'!B159</x:f>
        <x:v>14</x:v>
      </x:c>
      <x:c r="C159" t="n">
        <x:f>--('01 Sensory Input'!C159=$B$3)</x:f>
        <x:v>0</x:v>
      </x:c>
      <x:c r="D159" t="n">
        <x:f>--('01 Sensory Input'!D159=$B$3)</x:f>
        <x:v>0</x:v>
      </x:c>
      <x:c r="E159" t="n">
        <x:f>--('01 Sensory Input'!E159=$B$3)</x:f>
        <x:v>0</x:v>
      </x:c>
      <x:c r="F159" t="n">
        <x:f>--('01 Sensory Input'!F159=$B$3)</x:f>
        <x:v>0</x:v>
      </x:c>
      <x:c r="G159" t="n">
        <x:f>--('01 Sensory Input'!G159=$B$3)</x:f>
        <x:v>0</x:v>
      </x:c>
    </x:row>
    <x:row r="160">
      <x:c r="A160" t="n">
        <x:f>'01 Sensory Input'!A160</x:f>
        <x:v>8</x:v>
      </x:c>
      <x:c r="B160" t="n">
        <x:f>'01 Sensory Input'!B160</x:f>
        <x:v>15</x:v>
      </x:c>
      <x:c r="C160" t="n">
        <x:f>--('01 Sensory Input'!C160=$B$3)</x:f>
        <x:v>0</x:v>
      </x:c>
      <x:c r="D160" t="n">
        <x:f>--('01 Sensory Input'!D160=$B$3)</x:f>
        <x:v>0</x:v>
      </x:c>
      <x:c r="E160" t="n">
        <x:f>--('01 Sensory Input'!E160=$B$3)</x:f>
        <x:v>0</x:v>
      </x:c>
      <x:c r="F160" t="n">
        <x:f>--('01 Sensory Input'!F160=$B$3)</x:f>
        <x:v>0</x:v>
      </x:c>
      <x:c r="G160" t="n">
        <x:f>--('01 Sensory Input'!G160=$B$3)</x:f>
        <x:v>0</x:v>
      </x:c>
    </x:row>
    <x:row r="161">
      <x:c r="A161" t="n">
        <x:f>'01 Sensory Input'!A161</x:f>
        <x:v>8</x:v>
      </x:c>
      <x:c r="B161" t="n">
        <x:f>'01 Sensory Input'!B161</x:f>
        <x:v>16</x:v>
      </x:c>
      <x:c r="C161" t="n">
        <x:f>--('01 Sensory Input'!C161=$B$3)</x:f>
        <x:v>1</x:v>
      </x:c>
      <x:c r="D161" t="n">
        <x:f>--('01 Sensory Input'!D161=$B$3)</x:f>
        <x:v>0</x:v>
      </x:c>
      <x:c r="E161" t="n">
        <x:f>--('01 Sensory Input'!E161=$B$3)</x:f>
        <x:v>0</x:v>
      </x:c>
      <x:c r="F161" t="n">
        <x:f>--('01 Sensory Input'!F161=$B$3)</x:f>
        <x:v>0</x:v>
      </x:c>
      <x:c r="G161" t="n">
        <x:f>--('01 Sensory Input'!G161=$B$3)</x:f>
        <x:v>0</x:v>
      </x:c>
    </x:row>
    <x:row r="162">
      <x:c r="A162" t="n">
        <x:f>'01 Sensory Input'!A162</x:f>
        <x:v>8</x:v>
      </x:c>
      <x:c r="B162" t="n">
        <x:f>'01 Sensory Input'!B162</x:f>
        <x:v>17</x:v>
      </x:c>
      <x:c r="C162" t="n">
        <x:f>--('01 Sensory Input'!C162=$B$3)</x:f>
        <x:v>0</x:v>
      </x:c>
      <x:c r="D162" t="n">
        <x:f>--('01 Sensory Input'!D162=$B$3)</x:f>
        <x:v>0</x:v>
      </x:c>
      <x:c r="E162" t="n">
        <x:f>--('01 Sensory Input'!E162=$B$3)</x:f>
        <x:v>0</x:v>
      </x:c>
      <x:c r="F162" t="n">
        <x:f>--('01 Sensory Input'!F162=$B$3)</x:f>
        <x:v>0</x:v>
      </x:c>
      <x:c r="G162" t="n">
        <x:f>--('01 Sensory Input'!G162=$B$3)</x:f>
        <x:v>0</x:v>
      </x:c>
    </x:row>
    <x:row r="163">
      <x:c r="A163" t="n">
        <x:f>'01 Sensory Input'!A163</x:f>
        <x:v>8</x:v>
      </x:c>
      <x:c r="B163" t="n">
        <x:f>'01 Sensory Input'!B163</x:f>
        <x:v>18</x:v>
      </x:c>
      <x:c r="C163" t="n">
        <x:f>--('01 Sensory Input'!C163=$B$3)</x:f>
        <x:v>0</x:v>
      </x:c>
      <x:c r="D163" t="n">
        <x:f>--('01 Sensory Input'!D163=$B$3)</x:f>
        <x:v>0</x:v>
      </x:c>
      <x:c r="E163" t="n">
        <x:f>--('01 Sensory Input'!E163=$B$3)</x:f>
        <x:v>0</x:v>
      </x:c>
      <x:c r="F163" t="n">
        <x:f>--('01 Sensory Input'!F163=$B$3)</x:f>
        <x:v>0</x:v>
      </x:c>
      <x:c r="G163" t="n">
        <x:f>--('01 Sensory Input'!G163=$B$3)</x:f>
        <x:v>0</x:v>
      </x:c>
    </x:row>
    <x:row r="164">
      <x:c r="A164" t="n">
        <x:f>'01 Sensory Input'!A164</x:f>
        <x:v>8</x:v>
      </x:c>
      <x:c r="B164" t="n">
        <x:f>'01 Sensory Input'!B164</x:f>
        <x:v>19</x:v>
      </x:c>
      <x:c r="C164" t="n">
        <x:f>--('01 Sensory Input'!C164=$B$3)</x:f>
        <x:v>0</x:v>
      </x:c>
      <x:c r="D164" t="n">
        <x:f>--('01 Sensory Input'!D164=$B$3)</x:f>
        <x:v>0</x:v>
      </x:c>
      <x:c r="E164" t="n">
        <x:f>--('01 Sensory Input'!E164=$B$3)</x:f>
        <x:v>0</x:v>
      </x:c>
      <x:c r="F164" t="n">
        <x:f>--('01 Sensory Input'!F164=$B$3)</x:f>
        <x:v>0</x:v>
      </x:c>
      <x:c r="G164" t="n">
        <x:f>--('01 Sensory Input'!G164=$B$3)</x:f>
        <x:v>0</x:v>
      </x:c>
    </x:row>
    <x:row r="165">
      <x:c r="A165" t="n">
        <x:f>'01 Sensory Input'!A165</x:f>
        <x:v>8</x:v>
      </x:c>
      <x:c r="B165" t="n">
        <x:f>'01 Sensory Input'!B165</x:f>
        <x:v>20</x:v>
      </x:c>
      <x:c r="C165" t="n">
        <x:f>--('01 Sensory Input'!C165=$B$3)</x:f>
        <x:v>1</x:v>
      </x:c>
      <x:c r="D165" t="n">
        <x:f>--('01 Sensory Input'!D165=$B$3)</x:f>
        <x:v>1</x:v>
      </x:c>
      <x:c r="E165" t="n">
        <x:f>--('01 Sensory Input'!E165=$B$3)</x:f>
        <x:v>0</x:v>
      </x:c>
      <x:c r="F165" t="n">
        <x:f>--('01 Sensory Input'!F165=$B$3)</x:f>
        <x:v>0</x:v>
      </x:c>
      <x:c r="G165" t="n">
        <x:f>--('01 Sensory Input'!G165=$B$3)</x:f>
        <x:v>0</x:v>
      </x:c>
    </x:row>
    <x:row r="166">
      <x:c r="A166" t="n">
        <x:f>'01 Sensory Input'!A166</x:f>
        <x:v>9</x:v>
      </x:c>
      <x:c r="B166" t="n">
        <x:f>'01 Sensory Input'!B166</x:f>
        <x:v>1</x:v>
      </x:c>
      <x:c r="C166" t="n">
        <x:f>--('01 Sensory Input'!C166=$B$3)</x:f>
        <x:v>0</x:v>
      </x:c>
      <x:c r="D166" t="n">
        <x:f>--('01 Sensory Input'!D166=$B$3)</x:f>
        <x:v>0</x:v>
      </x:c>
      <x:c r="E166" t="n">
        <x:f>--('01 Sensory Input'!E166=$B$3)</x:f>
        <x:v>0</x:v>
      </x:c>
      <x:c r="F166" t="n">
        <x:f>--('01 Sensory Input'!F166=$B$3)</x:f>
        <x:v>0</x:v>
      </x:c>
      <x:c r="G166" t="n">
        <x:f>--('01 Sensory Input'!G166=$B$3)</x:f>
        <x:v>0</x:v>
      </x:c>
    </x:row>
    <x:row r="167">
      <x:c r="A167" t="n">
        <x:f>'01 Sensory Input'!A167</x:f>
        <x:v>9</x:v>
      </x:c>
      <x:c r="B167" t="n">
        <x:f>'01 Sensory Input'!B167</x:f>
        <x:v>2</x:v>
      </x:c>
      <x:c r="C167" t="n">
        <x:f>--('01 Sensory Input'!C167=$B$3)</x:f>
        <x:v>1</x:v>
      </x:c>
      <x:c r="D167" t="n">
        <x:f>--('01 Sensory Input'!D167=$B$3)</x:f>
        <x:v>0</x:v>
      </x:c>
      <x:c r="E167" t="n">
        <x:f>--('01 Sensory Input'!E167=$B$3)</x:f>
        <x:v>0</x:v>
      </x:c>
      <x:c r="F167" t="n">
        <x:f>--('01 Sensory Input'!F167=$B$3)</x:f>
        <x:v>0</x:v>
      </x:c>
      <x:c r="G167" t="n">
        <x:f>--('01 Sensory Input'!G167=$B$3)</x:f>
        <x:v>0</x:v>
      </x:c>
    </x:row>
    <x:row r="168">
      <x:c r="A168" t="n">
        <x:f>'01 Sensory Input'!A168</x:f>
        <x:v>9</x:v>
      </x:c>
      <x:c r="B168" t="n">
        <x:f>'01 Sensory Input'!B168</x:f>
        <x:v>3</x:v>
      </x:c>
      <x:c r="C168" t="n">
        <x:f>--('01 Sensory Input'!C168=$B$3)</x:f>
        <x:v>0</x:v>
      </x:c>
      <x:c r="D168" t="n">
        <x:f>--('01 Sensory Input'!D168=$B$3)</x:f>
        <x:v>0</x:v>
      </x:c>
      <x:c r="E168" t="n">
        <x:f>--('01 Sensory Input'!E168=$B$3)</x:f>
        <x:v>0</x:v>
      </x:c>
      <x:c r="F168" t="n">
        <x:f>--('01 Sensory Input'!F168=$B$3)</x:f>
        <x:v>0</x:v>
      </x:c>
      <x:c r="G168" t="n">
        <x:f>--('01 Sensory Input'!G168=$B$3)</x:f>
        <x:v>0</x:v>
      </x:c>
    </x:row>
    <x:row r="169">
      <x:c r="A169" t="n">
        <x:f>'01 Sensory Input'!A169</x:f>
        <x:v>9</x:v>
      </x:c>
      <x:c r="B169" t="n">
        <x:f>'01 Sensory Input'!B169</x:f>
        <x:v>4</x:v>
      </x:c>
      <x:c r="C169" t="n">
        <x:f>--('01 Sensory Input'!C169=$B$3)</x:f>
        <x:v>1</x:v>
      </x:c>
      <x:c r="D169" t="n">
        <x:f>--('01 Sensory Input'!D169=$B$3)</x:f>
        <x:v>0</x:v>
      </x:c>
      <x:c r="E169" t="n">
        <x:f>--('01 Sensory Input'!E169=$B$3)</x:f>
        <x:v>1</x:v>
      </x:c>
      <x:c r="F169" t="n">
        <x:f>--('01 Sensory Input'!F169=$B$3)</x:f>
        <x:v>0</x:v>
      </x:c>
      <x:c r="G169" t="n">
        <x:f>--('01 Sensory Input'!G169=$B$3)</x:f>
        <x:v>0</x:v>
      </x:c>
    </x:row>
    <x:row r="170">
      <x:c r="A170" t="n">
        <x:f>'01 Sensory Input'!A170</x:f>
        <x:v>9</x:v>
      </x:c>
      <x:c r="B170" t="n">
        <x:f>'01 Sensory Input'!B170</x:f>
        <x:v>5</x:v>
      </x:c>
      <x:c r="C170" t="n">
        <x:f>--('01 Sensory Input'!C170=$B$3)</x:f>
        <x:v>0</x:v>
      </x:c>
      <x:c r="D170" t="n">
        <x:f>--('01 Sensory Input'!D170=$B$3)</x:f>
        <x:v>0</x:v>
      </x:c>
      <x:c r="E170" t="n">
        <x:f>--('01 Sensory Input'!E170=$B$3)</x:f>
        <x:v>0</x:v>
      </x:c>
      <x:c r="F170" t="n">
        <x:f>--('01 Sensory Input'!F170=$B$3)</x:f>
        <x:v>0</x:v>
      </x:c>
      <x:c r="G170" t="n">
        <x:f>--('01 Sensory Input'!G170=$B$3)</x:f>
        <x:v>0</x:v>
      </x:c>
    </x:row>
    <x:row r="171">
      <x:c r="A171" t="n">
        <x:f>'01 Sensory Input'!A171</x:f>
        <x:v>9</x:v>
      </x:c>
      <x:c r="B171" t="n">
        <x:f>'01 Sensory Input'!B171</x:f>
        <x:v>6</x:v>
      </x:c>
      <x:c r="C171" t="n">
        <x:f>--('01 Sensory Input'!C171=$B$3)</x:f>
        <x:v>1</x:v>
      </x:c>
      <x:c r="D171" t="n">
        <x:f>--('01 Sensory Input'!D171=$B$3)</x:f>
        <x:v>0</x:v>
      </x:c>
      <x:c r="E171" t="n">
        <x:f>--('01 Sensory Input'!E171=$B$3)</x:f>
        <x:v>0</x:v>
      </x:c>
      <x:c r="F171" t="n">
        <x:f>--('01 Sensory Input'!F171=$B$3)</x:f>
        <x:v>0</x:v>
      </x:c>
      <x:c r="G171" t="n">
        <x:f>--('01 Sensory Input'!G171=$B$3)</x:f>
        <x:v>1</x:v>
      </x:c>
    </x:row>
    <x:row r="172">
      <x:c r="A172" t="n">
        <x:f>'01 Sensory Input'!A172</x:f>
        <x:v>9</x:v>
      </x:c>
      <x:c r="B172" t="n">
        <x:f>'01 Sensory Input'!B172</x:f>
        <x:v>7</x:v>
      </x:c>
      <x:c r="C172" t="n">
        <x:f>--('01 Sensory Input'!C172=$B$3)</x:f>
        <x:v>0</x:v>
      </x:c>
      <x:c r="D172" t="n">
        <x:f>--('01 Sensory Input'!D172=$B$3)</x:f>
        <x:v>0</x:v>
      </x:c>
      <x:c r="E172" t="n">
        <x:f>--('01 Sensory Input'!E172=$B$3)</x:f>
        <x:v>0</x:v>
      </x:c>
      <x:c r="F172" t="n">
        <x:f>--('01 Sensory Input'!F172=$B$3)</x:f>
        <x:v>0</x:v>
      </x:c>
      <x:c r="G172" t="n">
        <x:f>--('01 Sensory Input'!G172=$B$3)</x:f>
        <x:v>0</x:v>
      </x:c>
    </x:row>
    <x:row r="173">
      <x:c r="A173" t="n">
        <x:f>'01 Sensory Input'!A173</x:f>
        <x:v>9</x:v>
      </x:c>
      <x:c r="B173" t="n">
        <x:f>'01 Sensory Input'!B173</x:f>
        <x:v>8</x:v>
      </x:c>
      <x:c r="C173" t="n">
        <x:f>--('01 Sensory Input'!C173=$B$3)</x:f>
        <x:v>1</x:v>
      </x:c>
      <x:c r="D173" t="n">
        <x:f>--('01 Sensory Input'!D173=$B$3)</x:f>
        <x:v>0</x:v>
      </x:c>
      <x:c r="E173" t="n">
        <x:f>--('01 Sensory Input'!E173=$B$3)</x:f>
        <x:v>1</x:v>
      </x:c>
      <x:c r="F173" t="n">
        <x:f>--('01 Sensory Input'!F173=$B$3)</x:f>
        <x:v>0</x:v>
      </x:c>
      <x:c r="G173" t="n">
        <x:f>--('01 Sensory Input'!G173=$B$3)</x:f>
        <x:v>0</x:v>
      </x:c>
    </x:row>
    <x:row r="174">
      <x:c r="A174" t="n">
        <x:f>'01 Sensory Input'!A174</x:f>
        <x:v>9</x:v>
      </x:c>
      <x:c r="B174" t="n">
        <x:f>'01 Sensory Input'!B174</x:f>
        <x:v>9</x:v>
      </x:c>
      <x:c r="C174" t="n">
        <x:f>--('01 Sensory Input'!C174=$B$3)</x:f>
        <x:v>0</x:v>
      </x:c>
      <x:c r="D174" t="n">
        <x:f>--('01 Sensory Input'!D174=$B$3)</x:f>
        <x:v>0</x:v>
      </x:c>
      <x:c r="E174" t="n">
        <x:f>--('01 Sensory Input'!E174=$B$3)</x:f>
        <x:v>0</x:v>
      </x:c>
      <x:c r="F174" t="n">
        <x:f>--('01 Sensory Input'!F174=$B$3)</x:f>
        <x:v>0</x:v>
      </x:c>
      <x:c r="G174" t="n">
        <x:f>--('01 Sensory Input'!G174=$B$3)</x:f>
        <x:v>0</x:v>
      </x:c>
    </x:row>
    <x:row r="175">
      <x:c r="A175" t="n">
        <x:f>'01 Sensory Input'!A175</x:f>
        <x:v>9</x:v>
      </x:c>
      <x:c r="B175" t="n">
        <x:f>'01 Sensory Input'!B175</x:f>
        <x:v>10</x:v>
      </x:c>
      <x:c r="C175" t="n">
        <x:f>--('01 Sensory Input'!C175=$B$3)</x:f>
        <x:v>1</x:v>
      </x:c>
      <x:c r="D175" t="n">
        <x:f>--('01 Sensory Input'!D175=$B$3)</x:f>
        <x:v>0</x:v>
      </x:c>
      <x:c r="E175" t="n">
        <x:f>--('01 Sensory Input'!E175=$B$3)</x:f>
        <x:v>0</x:v>
      </x:c>
      <x:c r="F175" t="n">
        <x:f>--('01 Sensory Input'!F175=$B$3)</x:f>
        <x:v>0</x:v>
      </x:c>
      <x:c r="G175" t="n">
        <x:f>--('01 Sensory Input'!G175=$B$3)</x:f>
        <x:v>0</x:v>
      </x:c>
    </x:row>
    <x:row r="176">
      <x:c r="A176" t="n">
        <x:f>'01 Sensory Input'!A176</x:f>
        <x:v>9</x:v>
      </x:c>
      <x:c r="B176" t="n">
        <x:f>'01 Sensory Input'!B176</x:f>
        <x:v>11</x:v>
      </x:c>
      <x:c r="C176" t="n">
        <x:f>--('01 Sensory Input'!C176=$B$3)</x:f>
        <x:v>0</x:v>
      </x:c>
      <x:c r="D176" t="n">
        <x:f>--('01 Sensory Input'!D176=$B$3)</x:f>
        <x:v>0</x:v>
      </x:c>
      <x:c r="E176" t="n">
        <x:f>--('01 Sensory Input'!E176=$B$3)</x:f>
        <x:v>0</x:v>
      </x:c>
      <x:c r="F176" t="n">
        <x:f>--('01 Sensory Input'!F176=$B$3)</x:f>
        <x:v>0</x:v>
      </x:c>
      <x:c r="G176" t="n">
        <x:f>--('01 Sensory Input'!G176=$B$3)</x:f>
        <x:v>0</x:v>
      </x:c>
    </x:row>
    <x:row r="177">
      <x:c r="A177" t="n">
        <x:f>'01 Sensory Input'!A177</x:f>
        <x:v>9</x:v>
      </x:c>
      <x:c r="B177" t="n">
        <x:f>'01 Sensory Input'!B177</x:f>
        <x:v>12</x:v>
      </x:c>
      <x:c r="C177" t="n">
        <x:f>--('01 Sensory Input'!C177=$B$3)</x:f>
        <x:v>1</x:v>
      </x:c>
      <x:c r="D177" t="n">
        <x:f>--('01 Sensory Input'!D177=$B$3)</x:f>
        <x:v>0</x:v>
      </x:c>
      <x:c r="E177" t="n">
        <x:f>--('01 Sensory Input'!E177=$B$3)</x:f>
        <x:v>1</x:v>
      </x:c>
      <x:c r="F177" t="n">
        <x:f>--('01 Sensory Input'!F177=$B$3)</x:f>
        <x:v>0</x:v>
      </x:c>
      <x:c r="G177" t="n">
        <x:f>--('01 Sensory Input'!G177=$B$3)</x:f>
        <x:v>1</x:v>
      </x:c>
    </x:row>
    <x:row r="178">
      <x:c r="A178" t="n">
        <x:f>'01 Sensory Input'!A178</x:f>
        <x:v>9</x:v>
      </x:c>
      <x:c r="B178" t="n">
        <x:f>'01 Sensory Input'!B178</x:f>
        <x:v>13</x:v>
      </x:c>
      <x:c r="C178" t="n">
        <x:f>--('01 Sensory Input'!C178=$B$3)</x:f>
        <x:v>0</x:v>
      </x:c>
      <x:c r="D178" t="n">
        <x:f>--('01 Sensory Input'!D178=$B$3)</x:f>
        <x:v>0</x:v>
      </x:c>
      <x:c r="E178" t="n">
        <x:f>--('01 Sensory Input'!E178=$B$3)</x:f>
        <x:v>0</x:v>
      </x:c>
      <x:c r="F178" t="n">
        <x:f>--('01 Sensory Input'!F178=$B$3)</x:f>
        <x:v>0</x:v>
      </x:c>
      <x:c r="G178" t="n">
        <x:f>--('01 Sensory Input'!G178=$B$3)</x:f>
        <x:v>0</x:v>
      </x:c>
    </x:row>
    <x:row r="179">
      <x:c r="A179" t="n">
        <x:f>'01 Sensory Input'!A179</x:f>
        <x:v>9</x:v>
      </x:c>
      <x:c r="B179" t="n">
        <x:f>'01 Sensory Input'!B179</x:f>
        <x:v>14</x:v>
      </x:c>
      <x:c r="C179" t="n">
        <x:f>--('01 Sensory Input'!C179=$B$3)</x:f>
        <x:v>1</x:v>
      </x:c>
      <x:c r="D179" t="n">
        <x:f>--('01 Sensory Input'!D179=$B$3)</x:f>
        <x:v>0</x:v>
      </x:c>
      <x:c r="E179" t="n">
        <x:f>--('01 Sensory Input'!E179=$B$3)</x:f>
        <x:v>0</x:v>
      </x:c>
      <x:c r="F179" t="n">
        <x:f>--('01 Sensory Input'!F179=$B$3)</x:f>
        <x:v>0</x:v>
      </x:c>
      <x:c r="G179" t="n">
        <x:f>--('01 Sensory Input'!G179=$B$3)</x:f>
        <x:v>0</x:v>
      </x:c>
    </x:row>
    <x:row r="180">
      <x:c r="A180" t="n">
        <x:f>'01 Sensory Input'!A180</x:f>
        <x:v>9</x:v>
      </x:c>
      <x:c r="B180" t="n">
        <x:f>'01 Sensory Input'!B180</x:f>
        <x:v>15</x:v>
      </x:c>
      <x:c r="C180" t="n">
        <x:f>--('01 Sensory Input'!C180=$B$3)</x:f>
        <x:v>0</x:v>
      </x:c>
      <x:c r="D180" t="n">
        <x:f>--('01 Sensory Input'!D180=$B$3)</x:f>
        <x:v>0</x:v>
      </x:c>
      <x:c r="E180" t="n">
        <x:f>--('01 Sensory Input'!E180=$B$3)</x:f>
        <x:v>0</x:v>
      </x:c>
      <x:c r="F180" t="n">
        <x:f>--('01 Sensory Input'!F180=$B$3)</x:f>
        <x:v>0</x:v>
      </x:c>
      <x:c r="G180" t="n">
        <x:f>--('01 Sensory Input'!G180=$B$3)</x:f>
        <x:v>0</x:v>
      </x:c>
    </x:row>
    <x:row r="181">
      <x:c r="A181" t="n">
        <x:f>'01 Sensory Input'!A181</x:f>
        <x:v>9</x:v>
      </x:c>
      <x:c r="B181" t="n">
        <x:f>'01 Sensory Input'!B181</x:f>
        <x:v>16</x:v>
      </x:c>
      <x:c r="C181" t="n">
        <x:f>--('01 Sensory Input'!C181=$B$3)</x:f>
        <x:v>1</x:v>
      </x:c>
      <x:c r="D181" t="n">
        <x:f>--('01 Sensory Input'!D181=$B$3)</x:f>
        <x:v>0</x:v>
      </x:c>
      <x:c r="E181" t="n">
        <x:f>--('01 Sensory Input'!E181=$B$3)</x:f>
        <x:v>1</x:v>
      </x:c>
      <x:c r="F181" t="n">
        <x:f>--('01 Sensory Input'!F181=$B$3)</x:f>
        <x:v>0</x:v>
      </x:c>
      <x:c r="G181" t="n">
        <x:f>--('01 Sensory Input'!G181=$B$3)</x:f>
        <x:v>0</x:v>
      </x:c>
    </x:row>
    <x:row r="182">
      <x:c r="A182" t="n">
        <x:f>'01 Sensory Input'!A182</x:f>
        <x:v>9</x:v>
      </x:c>
      <x:c r="B182" t="n">
        <x:f>'01 Sensory Input'!B182</x:f>
        <x:v>17</x:v>
      </x:c>
      <x:c r="C182" t="n">
        <x:f>--('01 Sensory Input'!C182=$B$3)</x:f>
        <x:v>0</x:v>
      </x:c>
      <x:c r="D182" t="n">
        <x:f>--('01 Sensory Input'!D182=$B$3)</x:f>
        <x:v>0</x:v>
      </x:c>
      <x:c r="E182" t="n">
        <x:f>--('01 Sensory Input'!E182=$B$3)</x:f>
        <x:v>0</x:v>
      </x:c>
      <x:c r="F182" t="n">
        <x:f>--('01 Sensory Input'!F182=$B$3)</x:f>
        <x:v>0</x:v>
      </x:c>
      <x:c r="G182" t="n">
        <x:f>--('01 Sensory Input'!G182=$B$3)</x:f>
        <x:v>0</x:v>
      </x:c>
    </x:row>
    <x:row r="183">
      <x:c r="A183" t="n">
        <x:f>'01 Sensory Input'!A183</x:f>
        <x:v>9</x:v>
      </x:c>
      <x:c r="B183" t="n">
        <x:f>'01 Sensory Input'!B183</x:f>
        <x:v>18</x:v>
      </x:c>
      <x:c r="C183" t="n">
        <x:f>--('01 Sensory Input'!C183=$B$3)</x:f>
        <x:v>1</x:v>
      </x:c>
      <x:c r="D183" t="n">
        <x:f>--('01 Sensory Input'!D183=$B$3)</x:f>
        <x:v>0</x:v>
      </x:c>
      <x:c r="E183" t="n">
        <x:f>--('01 Sensory Input'!E183=$B$3)</x:f>
        <x:v>0</x:v>
      </x:c>
      <x:c r="F183" t="n">
        <x:f>--('01 Sensory Input'!F183=$B$3)</x:f>
        <x:v>0</x:v>
      </x:c>
      <x:c r="G183" t="n">
        <x:f>--('01 Sensory Input'!G183=$B$3)</x:f>
        <x:v>1</x:v>
      </x:c>
    </x:row>
    <x:row r="184">
      <x:c r="A184" t="n">
        <x:f>'01 Sensory Input'!A184</x:f>
        <x:v>9</x:v>
      </x:c>
      <x:c r="B184" t="n">
        <x:f>'01 Sensory Input'!B184</x:f>
        <x:v>19</x:v>
      </x:c>
      <x:c r="C184" t="n">
        <x:f>--('01 Sensory Input'!C184=$B$3)</x:f>
        <x:v>0</x:v>
      </x:c>
      <x:c r="D184" t="n">
        <x:f>--('01 Sensory Input'!D184=$B$3)</x:f>
        <x:v>0</x:v>
      </x:c>
      <x:c r="E184" t="n">
        <x:f>--('01 Sensory Input'!E184=$B$3)</x:f>
        <x:v>0</x:v>
      </x:c>
      <x:c r="F184" t="n">
        <x:f>--('01 Sensory Input'!F184=$B$3)</x:f>
        <x:v>0</x:v>
      </x:c>
      <x:c r="G184" t="n">
        <x:f>--('01 Sensory Input'!G184=$B$3)</x:f>
        <x:v>0</x:v>
      </x:c>
    </x:row>
    <x:row r="185">
      <x:c r="A185" t="n">
        <x:f>'01 Sensory Input'!A185</x:f>
        <x:v>9</x:v>
      </x:c>
      <x:c r="B185" t="n">
        <x:f>'01 Sensory Input'!B185</x:f>
        <x:v>20</x:v>
      </x:c>
      <x:c r="C185" t="n">
        <x:f>--('01 Sensory Input'!C185=$B$3)</x:f>
        <x:v>1</x:v>
      </x:c>
      <x:c r="D185" t="n">
        <x:f>--('01 Sensory Input'!D185=$B$3)</x:f>
        <x:v>0</x:v>
      </x:c>
      <x:c r="E185" t="n">
        <x:f>--('01 Sensory Input'!E185=$B$3)</x:f>
        <x:v>1</x:v>
      </x:c>
      <x:c r="F185" t="n">
        <x:f>--('01 Sensory Input'!F185=$B$3)</x:f>
        <x:v>0</x:v>
      </x:c>
      <x:c r="G185" t="n">
        <x:f>--('01 Sensory Input'!G185=$B$3)</x:f>
        <x:v>0</x:v>
      </x:c>
    </x:row>
    <x:row r="186">
      <x:c r="A186" t="n">
        <x:f>'01 Sensory Input'!A186</x:f>
        <x:v>10</x:v>
      </x:c>
      <x:c r="B186" t="n">
        <x:f>'01 Sensory Input'!B186</x:f>
        <x:v>1</x:v>
      </x:c>
      <x:c r="C186" t="n">
        <x:f>--('01 Sensory Input'!C186=$B$3)</x:f>
        <x:v>0</x:v>
      </x:c>
      <x:c r="D186" t="n">
        <x:f>--('01 Sensory Input'!D186=$B$3)</x:f>
        <x:v>1</x:v>
      </x:c>
      <x:c r="E186" t="n">
        <x:f>--('01 Sensory Input'!E186=$B$3)</x:f>
        <x:v>0</x:v>
      </x:c>
      <x:c r="F186" t="n">
        <x:f>--('01 Sensory Input'!F186=$B$3)</x:f>
        <x:v>1</x:v>
      </x:c>
      <x:c r="G186" t="n">
        <x:f>--('01 Sensory Input'!G186=$B$3)</x:f>
        <x:v>0</x:v>
      </x:c>
    </x:row>
    <x:row r="187">
      <x:c r="A187" t="n">
        <x:f>'01 Sensory Input'!A187</x:f>
        <x:v>10</x:v>
      </x:c>
      <x:c r="B187" t="n">
        <x:f>'01 Sensory Input'!B187</x:f>
        <x:v>2</x:v>
      </x:c>
      <x:c r="C187" t="n">
        <x:f>--('01 Sensory Input'!C187=$B$3)</x:f>
        <x:v>1</x:v>
      </x:c>
      <x:c r="D187" t="n">
        <x:f>--('01 Sensory Input'!D187=$B$3)</x:f>
        <x:v>0</x:v>
      </x:c>
      <x:c r="E187" t="n">
        <x:f>--('01 Sensory Input'!E187=$B$3)</x:f>
        <x:v>1</x:v>
      </x:c>
      <x:c r="F187" t="n">
        <x:f>--('01 Sensory Input'!F187=$B$3)</x:f>
        <x:v>0</x:v>
      </x:c>
      <x:c r="G187" t="n">
        <x:f>--('01 Sensory Input'!G187=$B$3)</x:f>
        <x:v>1</x:v>
      </x:c>
    </x:row>
    <x:row r="188">
      <x:c r="A188" t="n">
        <x:f>'01 Sensory Input'!A188</x:f>
        <x:v>10</x:v>
      </x:c>
      <x:c r="B188" t="n">
        <x:f>'01 Sensory Input'!B188</x:f>
        <x:v>3</x:v>
      </x:c>
      <x:c r="C188" t="n">
        <x:f>--('01 Sensory Input'!C188=$B$3)</x:f>
        <x:v>0</x:v>
      </x:c>
      <x:c r="D188" t="n">
        <x:f>--('01 Sensory Input'!D188=$B$3)</x:f>
        <x:v>1</x:v>
      </x:c>
      <x:c r="E188" t="n">
        <x:f>--('01 Sensory Input'!E188=$B$3)</x:f>
        <x:v>0</x:v>
      </x:c>
      <x:c r="F188" t="n">
        <x:f>--('01 Sensory Input'!F188=$B$3)</x:f>
        <x:v>1</x:v>
      </x:c>
      <x:c r="G188" t="n">
        <x:f>--('01 Sensory Input'!G188=$B$3)</x:f>
        <x:v>0</x:v>
      </x:c>
    </x:row>
    <x:row r="189">
      <x:c r="A189" t="n">
        <x:f>'01 Sensory Input'!A189</x:f>
        <x:v>10</x:v>
      </x:c>
      <x:c r="B189" t="n">
        <x:f>'01 Sensory Input'!B189</x:f>
        <x:v>4</x:v>
      </x:c>
      <x:c r="C189" t="n">
        <x:f>--('01 Sensory Input'!C189=$B$3)</x:f>
        <x:v>1</x:v>
      </x:c>
      <x:c r="D189" t="n">
        <x:f>--('01 Sensory Input'!D189=$B$3)</x:f>
        <x:v>0</x:v>
      </x:c>
      <x:c r="E189" t="n">
        <x:f>--('01 Sensory Input'!E189=$B$3)</x:f>
        <x:v>1</x:v>
      </x:c>
      <x:c r="F189" t="n">
        <x:f>--('01 Sensory Input'!F189=$B$3)</x:f>
        <x:v>0</x:v>
      </x:c>
      <x:c r="G189" t="n">
        <x:f>--('01 Sensory Input'!G189=$B$3)</x:f>
        <x:v>1</x:v>
      </x:c>
    </x:row>
    <x:row r="190">
      <x:c r="A190" t="n">
        <x:f>'01 Sensory Input'!A190</x:f>
        <x:v>10</x:v>
      </x:c>
      <x:c r="B190" t="n">
        <x:f>'01 Sensory Input'!B190</x:f>
        <x:v>5</x:v>
      </x:c>
      <x:c r="C190" t="n">
        <x:f>--('01 Sensory Input'!C190=$B$3)</x:f>
        <x:v>1</x:v>
      </x:c>
      <x:c r="D190" t="n">
        <x:f>--('01 Sensory Input'!D190=$B$3)</x:f>
        <x:v>1</x:v>
      </x:c>
      <x:c r="E190" t="n">
        <x:f>--('01 Sensory Input'!E190=$B$3)</x:f>
        <x:v>1</x:v>
      </x:c>
      <x:c r="F190" t="n">
        <x:f>--('01 Sensory Input'!F190=$B$3)</x:f>
        <x:v>1</x:v>
      </x:c>
      <x:c r="G190" t="n">
        <x:f>--('01 Sensory Input'!G190=$B$3)</x:f>
        <x:v>1</x:v>
      </x:c>
    </x:row>
    <x:row r="191">
      <x:c r="A191" t="n">
        <x:f>'01 Sensory Input'!A191</x:f>
        <x:v>10</x:v>
      </x:c>
      <x:c r="B191" t="n">
        <x:f>'01 Sensory Input'!B191</x:f>
        <x:v>6</x:v>
      </x:c>
      <x:c r="C191" t="n">
        <x:f>--('01 Sensory Input'!C191=$B$3)</x:f>
        <x:v>1</x:v>
      </x:c>
      <x:c r="D191" t="n">
        <x:f>--('01 Sensory Input'!D191=$B$3)</x:f>
        <x:v>0</x:v>
      </x:c>
      <x:c r="E191" t="n">
        <x:f>--('01 Sensory Input'!E191=$B$3)</x:f>
        <x:v>1</x:v>
      </x:c>
      <x:c r="F191" t="n">
        <x:f>--('01 Sensory Input'!F191=$B$3)</x:f>
        <x:v>0</x:v>
      </x:c>
      <x:c r="G191" t="n">
        <x:f>--('01 Sensory Input'!G191=$B$3)</x:f>
        <x:v>1</x:v>
      </x:c>
    </x:row>
    <x:row r="192">
      <x:c r="A192" t="n">
        <x:f>'01 Sensory Input'!A192</x:f>
        <x:v>10</x:v>
      </x:c>
      <x:c r="B192" t="n">
        <x:f>'01 Sensory Input'!B192</x:f>
        <x:v>7</x:v>
      </x:c>
      <x:c r="C192" t="n">
        <x:f>--('01 Sensory Input'!C192=$B$3)</x:f>
        <x:v>0</x:v>
      </x:c>
      <x:c r="D192" t="n">
        <x:f>--('01 Sensory Input'!D192=$B$3)</x:f>
        <x:v>1</x:v>
      </x:c>
      <x:c r="E192" t="n">
        <x:f>--('01 Sensory Input'!E192=$B$3)</x:f>
        <x:v>0</x:v>
      </x:c>
      <x:c r="F192" t="n">
        <x:f>--('01 Sensory Input'!F192=$B$3)</x:f>
        <x:v>1</x:v>
      </x:c>
      <x:c r="G192" t="n">
        <x:f>--('01 Sensory Input'!G192=$B$3)</x:f>
        <x:v>0</x:v>
      </x:c>
    </x:row>
    <x:row r="193">
      <x:c r="A193" t="n">
        <x:f>'01 Sensory Input'!A193</x:f>
        <x:v>10</x:v>
      </x:c>
      <x:c r="B193" t="n">
        <x:f>'01 Sensory Input'!B193</x:f>
        <x:v>8</x:v>
      </x:c>
      <x:c r="C193" t="n">
        <x:f>--('01 Sensory Input'!C193=$B$3)</x:f>
        <x:v>1</x:v>
      </x:c>
      <x:c r="D193" t="n">
        <x:f>--('01 Sensory Input'!D193=$B$3)</x:f>
        <x:v>0</x:v>
      </x:c>
      <x:c r="E193" t="n">
        <x:f>--('01 Sensory Input'!E193=$B$3)</x:f>
        <x:v>1</x:v>
      </x:c>
      <x:c r="F193" t="n">
        <x:f>--('01 Sensory Input'!F193=$B$3)</x:f>
        <x:v>0</x:v>
      </x:c>
      <x:c r="G193" t="n">
        <x:f>--('01 Sensory Input'!G193=$B$3)</x:f>
        <x:v>1</x:v>
      </x:c>
    </x:row>
    <x:row r="194">
      <x:c r="A194" t="n">
        <x:f>'01 Sensory Input'!A194</x:f>
        <x:v>10</x:v>
      </x:c>
      <x:c r="B194" t="n">
        <x:f>'01 Sensory Input'!B194</x:f>
        <x:v>9</x:v>
      </x:c>
      <x:c r="C194" t="n">
        <x:f>--('01 Sensory Input'!C194=$B$3)</x:f>
        <x:v>0</x:v>
      </x:c>
      <x:c r="D194" t="n">
        <x:f>--('01 Sensory Input'!D194=$B$3)</x:f>
        <x:v>1</x:v>
      </x:c>
      <x:c r="E194" t="n">
        <x:f>--('01 Sensory Input'!E194=$B$3)</x:f>
        <x:v>0</x:v>
      </x:c>
      <x:c r="F194" t="n">
        <x:f>--('01 Sensory Input'!F194=$B$3)</x:f>
        <x:v>1</x:v>
      </x:c>
      <x:c r="G194" t="n">
        <x:f>--('01 Sensory Input'!G194=$B$3)</x:f>
        <x:v>0</x:v>
      </x:c>
    </x:row>
    <x:row r="195">
      <x:c r="A195" t="n">
        <x:f>'01 Sensory Input'!A195</x:f>
        <x:v>10</x:v>
      </x:c>
      <x:c r="B195" t="n">
        <x:f>'01 Sensory Input'!B195</x:f>
        <x:v>10</x:v>
      </x:c>
      <x:c r="C195" t="n">
        <x:f>--('01 Sensory Input'!C195=$B$3)</x:f>
        <x:v>1</x:v>
      </x:c>
      <x:c r="D195" t="n">
        <x:f>--('01 Sensory Input'!D195=$B$3)</x:f>
        <x:v>1</x:v>
      </x:c>
      <x:c r="E195" t="n">
        <x:f>--('01 Sensory Input'!E195=$B$3)</x:f>
        <x:v>1</x:v>
      </x:c>
      <x:c r="F195" t="n">
        <x:f>--('01 Sensory Input'!F195=$B$3)</x:f>
        <x:v>1</x:v>
      </x:c>
      <x:c r="G195" t="n">
        <x:f>--('01 Sensory Input'!G195=$B$3)</x:f>
        <x:v>1</x:v>
      </x:c>
    </x:row>
    <x:row r="196">
      <x:c r="A196" t="n">
        <x:f>'01 Sensory Input'!A196</x:f>
        <x:v>10</x:v>
      </x:c>
      <x:c r="B196" t="n">
        <x:f>'01 Sensory Input'!B196</x:f>
        <x:v>11</x:v>
      </x:c>
      <x:c r="C196" t="n">
        <x:f>--('01 Sensory Input'!C196=$B$3)</x:f>
        <x:v>0</x:v>
      </x:c>
      <x:c r="D196" t="n">
        <x:f>--('01 Sensory Input'!D196=$B$3)</x:f>
        <x:v>1</x:v>
      </x:c>
      <x:c r="E196" t="n">
        <x:f>--('01 Sensory Input'!E196=$B$3)</x:f>
        <x:v>0</x:v>
      </x:c>
      <x:c r="F196" t="n">
        <x:f>--('01 Sensory Input'!F196=$B$3)</x:f>
        <x:v>1</x:v>
      </x:c>
      <x:c r="G196" t="n">
        <x:f>--('01 Sensory Input'!G196=$B$3)</x:f>
        <x:v>0</x:v>
      </x:c>
    </x:row>
    <x:row r="197">
      <x:c r="A197" t="n">
        <x:f>'01 Sensory Input'!A197</x:f>
        <x:v>10</x:v>
      </x:c>
      <x:c r="B197" t="n">
        <x:f>'01 Sensory Input'!B197</x:f>
        <x:v>12</x:v>
      </x:c>
      <x:c r="C197" t="n">
        <x:f>--('01 Sensory Input'!C197=$B$3)</x:f>
        <x:v>1</x:v>
      </x:c>
      <x:c r="D197" t="n">
        <x:f>--('01 Sensory Input'!D197=$B$3)</x:f>
        <x:v>0</x:v>
      </x:c>
      <x:c r="E197" t="n">
        <x:f>--('01 Sensory Input'!E197=$B$3)</x:f>
        <x:v>1</x:v>
      </x:c>
      <x:c r="F197" t="n">
        <x:f>--('01 Sensory Input'!F197=$B$3)</x:f>
        <x:v>0</x:v>
      </x:c>
      <x:c r="G197" t="n">
        <x:f>--('01 Sensory Input'!G197=$B$3)</x:f>
        <x:v>1</x:v>
      </x:c>
    </x:row>
    <x:row r="198">
      <x:c r="A198" t="n">
        <x:f>'01 Sensory Input'!A198</x:f>
        <x:v>10</x:v>
      </x:c>
      <x:c r="B198" t="n">
        <x:f>'01 Sensory Input'!B198</x:f>
        <x:v>13</x:v>
      </x:c>
      <x:c r="C198" t="n">
        <x:f>--('01 Sensory Input'!C198=$B$3)</x:f>
        <x:v>0</x:v>
      </x:c>
      <x:c r="D198" t="n">
        <x:f>--('01 Sensory Input'!D198=$B$3)</x:f>
        <x:v>1</x:v>
      </x:c>
      <x:c r="E198" t="n">
        <x:f>--('01 Sensory Input'!E198=$B$3)</x:f>
        <x:v>0</x:v>
      </x:c>
      <x:c r="F198" t="n">
        <x:f>--('01 Sensory Input'!F198=$B$3)</x:f>
        <x:v>1</x:v>
      </x:c>
      <x:c r="G198" t="n">
        <x:f>--('01 Sensory Input'!G198=$B$3)</x:f>
        <x:v>0</x:v>
      </x:c>
    </x:row>
    <x:row r="199">
      <x:c r="A199" t="n">
        <x:f>'01 Sensory Input'!A199</x:f>
        <x:v>10</x:v>
      </x:c>
      <x:c r="B199" t="n">
        <x:f>'01 Sensory Input'!B199</x:f>
        <x:v>14</x:v>
      </x:c>
      <x:c r="C199" t="n">
        <x:f>--('01 Sensory Input'!C199=$B$3)</x:f>
        <x:v>1</x:v>
      </x:c>
      <x:c r="D199" t="n">
        <x:f>--('01 Sensory Input'!D199=$B$3)</x:f>
        <x:v>0</x:v>
      </x:c>
      <x:c r="E199" t="n">
        <x:f>--('01 Sensory Input'!E199=$B$3)</x:f>
        <x:v>1</x:v>
      </x:c>
      <x:c r="F199" t="n">
        <x:f>--('01 Sensory Input'!F199=$B$3)</x:f>
        <x:v>0</x:v>
      </x:c>
      <x:c r="G199" t="n">
        <x:f>--('01 Sensory Input'!G199=$B$3)</x:f>
        <x:v>1</x:v>
      </x:c>
    </x:row>
    <x:row r="200">
      <x:c r="A200" t="n">
        <x:f>'01 Sensory Input'!A200</x:f>
        <x:v>10</x:v>
      </x:c>
      <x:c r="B200" t="n">
        <x:f>'01 Sensory Input'!B200</x:f>
        <x:v>15</x:v>
      </x:c>
      <x:c r="C200" t="n">
        <x:f>--('01 Sensory Input'!C200=$B$3)</x:f>
        <x:v>1</x:v>
      </x:c>
      <x:c r="D200" t="n">
        <x:f>--('01 Sensory Input'!D200=$B$3)</x:f>
        <x:v>1</x:v>
      </x:c>
      <x:c r="E200" t="n">
        <x:f>--('01 Sensory Input'!E200=$B$3)</x:f>
        <x:v>1</x:v>
      </x:c>
      <x:c r="F200" t="n">
        <x:f>--('01 Sensory Input'!F200=$B$3)</x:f>
        <x:v>1</x:v>
      </x:c>
      <x:c r="G200" t="n">
        <x:f>--('01 Sensory Input'!G200=$B$3)</x:f>
        <x:v>1</x:v>
      </x:c>
    </x:row>
    <x:row r="201">
      <x:c r="A201" t="n">
        <x:f>'01 Sensory Input'!A201</x:f>
        <x:v>10</x:v>
      </x:c>
      <x:c r="B201" t="n">
        <x:f>'01 Sensory Input'!B201</x:f>
        <x:v>16</x:v>
      </x:c>
      <x:c r="C201" t="n">
        <x:f>--('01 Sensory Input'!C201=$B$3)</x:f>
        <x:v>1</x:v>
      </x:c>
      <x:c r="D201" t="n">
        <x:f>--('01 Sensory Input'!D201=$B$3)</x:f>
        <x:v>0</x:v>
      </x:c>
      <x:c r="E201" t="n">
        <x:f>--('01 Sensory Input'!E201=$B$3)</x:f>
        <x:v>1</x:v>
      </x:c>
      <x:c r="F201" t="n">
        <x:f>--('01 Sensory Input'!F201=$B$3)</x:f>
        <x:v>0</x:v>
      </x:c>
      <x:c r="G201" t="n">
        <x:f>--('01 Sensory Input'!G201=$B$3)</x:f>
        <x:v>1</x:v>
      </x:c>
    </x:row>
    <x:row r="202">
      <x:c r="A202" t="n">
        <x:f>'01 Sensory Input'!A202</x:f>
        <x:v>10</x:v>
      </x:c>
      <x:c r="B202" t="n">
        <x:f>'01 Sensory Input'!B202</x:f>
        <x:v>17</x:v>
      </x:c>
      <x:c r="C202" t="n">
        <x:f>--('01 Sensory Input'!C202=$B$3)</x:f>
        <x:v>0</x:v>
      </x:c>
      <x:c r="D202" t="n">
        <x:f>--('01 Sensory Input'!D202=$B$3)</x:f>
        <x:v>1</x:v>
      </x:c>
      <x:c r="E202" t="n">
        <x:f>--('01 Sensory Input'!E202=$B$3)</x:f>
        <x:v>0</x:v>
      </x:c>
      <x:c r="F202" t="n">
        <x:f>--('01 Sensory Input'!F202=$B$3)</x:f>
        <x:v>1</x:v>
      </x:c>
      <x:c r="G202" t="n">
        <x:f>--('01 Sensory Input'!G202=$B$3)</x:f>
        <x:v>0</x:v>
      </x:c>
    </x:row>
    <x:row r="203">
      <x:c r="A203" t="n">
        <x:f>'01 Sensory Input'!A203</x:f>
        <x:v>10</x:v>
      </x:c>
      <x:c r="B203" t="n">
        <x:f>'01 Sensory Input'!B203</x:f>
        <x:v>18</x:v>
      </x:c>
      <x:c r="C203" t="n">
        <x:f>--('01 Sensory Input'!C203=$B$3)</x:f>
        <x:v>1</x:v>
      </x:c>
      <x:c r="D203" t="n">
        <x:f>--('01 Sensory Input'!D203=$B$3)</x:f>
        <x:v>0</x:v>
      </x:c>
      <x:c r="E203" t="n">
        <x:f>--('01 Sensory Input'!E203=$B$3)</x:f>
        <x:v>1</x:v>
      </x:c>
      <x:c r="F203" t="n">
        <x:f>--('01 Sensory Input'!F203=$B$3)</x:f>
        <x:v>0</x:v>
      </x:c>
      <x:c r="G203" t="n">
        <x:f>--('01 Sensory Input'!G203=$B$3)</x:f>
        <x:v>1</x:v>
      </x:c>
    </x:row>
    <x:row r="204">
      <x:c r="A204" t="n">
        <x:f>'01 Sensory Input'!A204</x:f>
        <x:v>10</x:v>
      </x:c>
      <x:c r="B204" t="n">
        <x:f>'01 Sensory Input'!B204</x:f>
        <x:v>19</x:v>
      </x:c>
      <x:c r="C204" t="n">
        <x:f>--('01 Sensory Input'!C204=$B$3)</x:f>
        <x:v>0</x:v>
      </x:c>
      <x:c r="D204" t="n">
        <x:f>--('01 Sensory Input'!D204=$B$3)</x:f>
        <x:v>1</x:v>
      </x:c>
      <x:c r="E204" t="n">
        <x:f>--('01 Sensory Input'!E204=$B$3)</x:f>
        <x:v>0</x:v>
      </x:c>
      <x:c r="F204" t="n">
        <x:f>--('01 Sensory Input'!F204=$B$3)</x:f>
        <x:v>1</x:v>
      </x:c>
      <x:c r="G204" t="n">
        <x:f>--('01 Sensory Input'!G204=$B$3)</x:f>
        <x:v>0</x:v>
      </x:c>
    </x:row>
    <x:row r="205">
      <x:c r="A205" t="n">
        <x:f>'01 Sensory Input'!A205</x:f>
        <x:v>10</x:v>
      </x:c>
      <x:c r="B205" t="n">
        <x:f>'01 Sensory Input'!B205</x:f>
        <x:v>20</x:v>
      </x:c>
      <x:c r="C205" t="n">
        <x:f>--('01 Sensory Input'!C205=$B$3)</x:f>
        <x:v>1</x:v>
      </x:c>
      <x:c r="D205" t="n">
        <x:f>--('01 Sensory Input'!D205=$B$3)</x:f>
        <x:v>1</x:v>
      </x:c>
      <x:c r="E205" t="n">
        <x:f>--('01 Sensory Input'!E205=$B$3)</x:f>
        <x:v>1</x:v>
      </x:c>
      <x:c r="F205" t="n">
        <x:f>--('01 Sensory Input'!F205=$B$3)</x:f>
        <x:v>1</x:v>
      </x:c>
      <x:c r="G205" t="n">
        <x:f>--('01 Sensory Input'!G205=$B$3)</x:f>
        <x:v>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670000076293945" hidden="0" customWidth="1"/>
    <x:col min="2" max="2" width="4.670000076293945" hidden="0" customWidth="1"/>
    <x:col min="3" max="3" width="4.670000076293945" hidden="0" customWidth="1"/>
    <x:col min="4" max="4" width="4.670000076293945" hidden="0" customWidth="1"/>
    <x:col min="5" max="5" width="4.670000076293945" hidden="0" customWidth="1"/>
    <x:col min="6" max="6" width="4.670000076293945" hidden="0" customWidth="1"/>
    <x:col min="7" max="7" width="4.670000076293945" hidden="0" customWidth="1"/>
    <x:col min="8" max="8" width="4.670000076293945" hidden="0" customWidth="1"/>
  </x:cols>
  <x:sheetData>
    <x:row r="1" ht="19.5" customHeight="1">
      <x:c r="A1" s="4" t="str">
        <x:v>02b n^-1</x:v>
      </x:c>
      <x:c r="B1" s="4" t="str">
        <x:v>02b n^-1</x:v>
      </x:c>
      <x:c r="C1" s="4" t="str">
        <x:v>02b n^-1</x:v>
      </x:c>
      <x:c r="D1" s="4" t="str">
        <x:v>02b n^-1</x:v>
      </x:c>
      <x:c r="E1" s="4" t="str">
        <x:v>02b n^-1</x:v>
      </x:c>
      <x:c r="F1" s="4" t="str">
        <x:v>02b n^-1</x:v>
      </x:c>
      <x:c r="G1" s="4" t="str">
        <x:v>02b n^-1</x:v>
      </x:c>
      <x:c r="H1" s="4" t="str">
        <x:v>02b n^-1</x:v>
      </x:c>
    </x:row>
    <x:row r="2" ht="18" customHeight="1">
      <x:c r="A2" s="6" t="str">
        <x:v>One-tick change. Sense columns output 1 when absolute change is at least 0.5. x outputs 1 when two or more senses hit.</x:v>
      </x:c>
      <x:c r="B2" s="6" t="str">
        <x:v>One-tick change. Sense columns output 1 when absolute change is at least 0.5. x outputs 1 when two or more senses hit.</x:v>
      </x:c>
      <x:c r="C2" s="6" t="str">
        <x:v>One-tick change. Sense columns output 1 when absolute change is at least 0.5. x outputs 1 when two or more senses hit.</x:v>
      </x:c>
      <x:c r="D2" s="6" t="str">
        <x:v>One-tick change. Sense columns output 1 when absolute change is at least 0.5. x outputs 1 when two or more senses hit.</x:v>
      </x:c>
      <x:c r="E2" s="6" t="str">
        <x:v>One-tick change. Sense columns output 1 when absolute change is at least 0.5. x outputs 1 when two or more senses hit.</x:v>
      </x:c>
      <x:c r="F2" s="6" t="str">
        <x:v>One-tick change. Sense columns output 1 when absolute change is at least 0.5. x outputs 1 when two or more senses hit.</x:v>
      </x:c>
      <x:c r="G2" s="6" t="str">
        <x:v>One-tick change. Sense columns output 1 when absolute change is at least 0.5. x outputs 1 when two or more senses hit.</x:v>
      </x:c>
      <x:c r="H2" s="6" t="str">
        <x:v>One-tick change. Sense columns output 1 when absolute change is at least 0.5. x outputs 1 when two or more senses hit.</x:v>
      </x:c>
    </x:row>
    <x:row r="3">
      <x:c r="A3" t="str">
        <x:v>n^-1</x:v>
      </x:c>
      <x:c r="B3" t="n">
        <x:v>0.5</x:v>
      </x:c>
    </x:row>
    <x:row r="5">
      <x:c r="A5" s="9" t="str">
        <x:v>sample</x:v>
      </x:c>
      <x:c r="B5" s="10" t="str">
        <x:v>tick</x:v>
      </x:c>
      <x:c r="C5" s="10" t="str">
        <x:v>b</x:v>
      </x:c>
      <x:c r="D5" s="10" t="str">
        <x:v>v</x:v>
      </x:c>
      <x:c r="E5" s="10" t="str">
        <x:v>to</x:v>
      </x:c>
      <x:c r="F5" s="10" t="str">
        <x:v>ta</x:v>
      </x:c>
      <x:c r="G5" s="10" t="str">
        <x:v>s</x:v>
      </x:c>
      <x:c r="H5" s="11" t="str">
        <x:v>x</x:v>
      </x:c>
    </x:row>
    <x:row r="6">
      <x:c r="A6" t="n">
        <x:f>'01 Sensory Input'!A6</x:f>
        <x:v>1</x:v>
      </x:c>
      <x:c r="B6" t="n">
        <x:f>'01 Sensory Input'!B6</x:f>
        <x:v>1</x:v>
      </x:c>
      <x:c r="C6" t="n">
        <x:f>IF(A6=A5,--(ABS('01 Sensory Input'!C6-'01 Sensory Input'!C5)&gt;=$B$3),0)</x:f>
        <x:v>0</x:v>
      </x:c>
      <x:c r="D6" t="n">
        <x:f>IF(A6=A5,--(ABS('01 Sensory Input'!D6-'01 Sensory Input'!D5)&gt;=$B$3),0)</x:f>
        <x:v>0</x:v>
      </x:c>
      <x:c r="E6" t="n">
        <x:f>IF(A6=A5,--(ABS('01 Sensory Input'!E6-'01 Sensory Input'!E5)&gt;=$B$3),0)</x:f>
        <x:v>0</x:v>
      </x:c>
      <x:c r="F6" t="n">
        <x:f>IF(A6=A5,--(ABS('01 Sensory Input'!F6-'01 Sensory Input'!F5)&gt;=$B$3),0)</x:f>
        <x:v>0</x:v>
      </x:c>
      <x:c r="G6" t="n">
        <x:f>IF(A6=A5,--(ABS('01 Sensory Input'!G6-'01 Sensory Input'!G5)&gt;=$B$3),0)</x:f>
        <x:v>0</x:v>
      </x:c>
      <x:c r="H6" t="n">
        <x:f>--(SUM(C6:G6)&gt;=2)</x:f>
        <x:v>0</x:v>
      </x:c>
    </x:row>
    <x:row r="7">
      <x:c r="A7" t="n">
        <x:f>'01 Sensory Input'!A7</x:f>
        <x:v>1</x:v>
      </x:c>
      <x:c r="B7" t="n">
        <x:f>'01 Sensory Input'!B7</x:f>
        <x:v>2</x:v>
      </x:c>
      <x:c r="C7" t="n">
        <x:f>IF(A7=A6,--(ABS('01 Sensory Input'!C7-'01 Sensory Input'!C6)&gt;=$B$3),0)</x:f>
        <x:v>0</x:v>
      </x:c>
      <x:c r="D7" t="n">
        <x:f>IF(A7=A6,--(ABS('01 Sensory Input'!D7-'01 Sensory Input'!D6)&gt;=$B$3),0)</x:f>
        <x:v>0</x:v>
      </x:c>
      <x:c r="E7" t="n">
        <x:f>IF(A7=A6,--(ABS('01 Sensory Input'!E7-'01 Sensory Input'!E6)&gt;=$B$3),0)</x:f>
        <x:v>0</x:v>
      </x:c>
      <x:c r="F7" t="n">
        <x:f>IF(A7=A6,--(ABS('01 Sensory Input'!F7-'01 Sensory Input'!F6)&gt;=$B$3),0)</x:f>
        <x:v>0</x:v>
      </x:c>
      <x:c r="G7" t="n">
        <x:f>IF(A7=A6,--(ABS('01 Sensory Input'!G7-'01 Sensory Input'!G6)&gt;=$B$3),0)</x:f>
        <x:v>0</x:v>
      </x:c>
      <x:c r="H7" t="n">
        <x:f>--(SUM(C7:G7)&gt;=2)</x:f>
        <x:v>0</x:v>
      </x:c>
    </x:row>
    <x:row r="8">
      <x:c r="A8" t="n">
        <x:f>'01 Sensory Input'!A8</x:f>
        <x:v>1</x:v>
      </x:c>
      <x:c r="B8" t="n">
        <x:f>'01 Sensory Input'!B8</x:f>
        <x:v>3</x:v>
      </x:c>
      <x:c r="C8" t="n">
        <x:f>IF(A8=A7,--(ABS('01 Sensory Input'!C8-'01 Sensory Input'!C7)&gt;=$B$3),0)</x:f>
        <x:v>0</x:v>
      </x:c>
      <x:c r="D8" t="n">
        <x:f>IF(A8=A7,--(ABS('01 Sensory Input'!D8-'01 Sensory Input'!D7)&gt;=$B$3),0)</x:f>
        <x:v>0</x:v>
      </x:c>
      <x:c r="E8" t="n">
        <x:f>IF(A8=A7,--(ABS('01 Sensory Input'!E8-'01 Sensory Input'!E7)&gt;=$B$3),0)</x:f>
        <x:v>0</x:v>
      </x:c>
      <x:c r="F8" t="n">
        <x:f>IF(A8=A7,--(ABS('01 Sensory Input'!F8-'01 Sensory Input'!F7)&gt;=$B$3),0)</x:f>
        <x:v>0</x:v>
      </x:c>
      <x:c r="G8" t="n">
        <x:f>IF(A8=A7,--(ABS('01 Sensory Input'!G8-'01 Sensory Input'!G7)&gt;=$B$3),0)</x:f>
        <x:v>0</x:v>
      </x:c>
      <x:c r="H8" t="n">
        <x:f>--(SUM(C8:G8)&gt;=2)</x:f>
        <x:v>0</x:v>
      </x:c>
    </x:row>
    <x:row r="9">
      <x:c r="A9" t="n">
        <x:f>'01 Sensory Input'!A9</x:f>
        <x:v>1</x:v>
      </x:c>
      <x:c r="B9" t="n">
        <x:f>'01 Sensory Input'!B9</x:f>
        <x:v>4</x:v>
      </x:c>
      <x:c r="C9" t="n">
        <x:f>IF(A9=A8,--(ABS('01 Sensory Input'!C9-'01 Sensory Input'!C8)&gt;=$B$3),0)</x:f>
        <x:v>0</x:v>
      </x:c>
      <x:c r="D9" t="n">
        <x:f>IF(A9=A8,--(ABS('01 Sensory Input'!D9-'01 Sensory Input'!D8)&gt;=$B$3),0)</x:f>
        <x:v>0</x:v>
      </x:c>
      <x:c r="E9" t="n">
        <x:f>IF(A9=A8,--(ABS('01 Sensory Input'!E9-'01 Sensory Input'!E8)&gt;=$B$3),0)</x:f>
        <x:v>0</x:v>
      </x:c>
      <x:c r="F9" t="n">
        <x:f>IF(A9=A8,--(ABS('01 Sensory Input'!F9-'01 Sensory Input'!F8)&gt;=$B$3),0)</x:f>
        <x:v>0</x:v>
      </x:c>
      <x:c r="G9" t="n">
        <x:f>IF(A9=A8,--(ABS('01 Sensory Input'!G9-'01 Sensory Input'!G8)&gt;=$B$3),0)</x:f>
        <x:v>0</x:v>
      </x:c>
      <x:c r="H9" t="n">
        <x:f>--(SUM(C9:G9)&gt;=2)</x:f>
        <x:v>0</x:v>
      </x:c>
    </x:row>
    <x:row r="10">
      <x:c r="A10" t="n">
        <x:f>'01 Sensory Input'!A10</x:f>
        <x:v>1</x:v>
      </x:c>
      <x:c r="B10" t="n">
        <x:f>'01 Sensory Input'!B10</x:f>
        <x:v>5</x:v>
      </x:c>
      <x:c r="C10" t="n">
        <x:f>IF(A10=A9,--(ABS('01 Sensory Input'!C10-'01 Sensory Input'!C9)&gt;=$B$3),0)</x:f>
        <x:v>0</x:v>
      </x:c>
      <x:c r="D10" t="n">
        <x:f>IF(A10=A9,--(ABS('01 Sensory Input'!D10-'01 Sensory Input'!D9)&gt;=$B$3),0)</x:f>
        <x:v>0</x:v>
      </x:c>
      <x:c r="E10" t="n">
        <x:f>IF(A10=A9,--(ABS('01 Sensory Input'!E10-'01 Sensory Input'!E9)&gt;=$B$3),0)</x:f>
        <x:v>0</x:v>
      </x:c>
      <x:c r="F10" t="n">
        <x:f>IF(A10=A9,--(ABS('01 Sensory Input'!F10-'01 Sensory Input'!F9)&gt;=$B$3),0)</x:f>
        <x:v>0</x:v>
      </x:c>
      <x:c r="G10" t="n">
        <x:f>IF(A10=A9,--(ABS('01 Sensory Input'!G10-'01 Sensory Input'!G9)&gt;=$B$3),0)</x:f>
        <x:v>0</x:v>
      </x:c>
      <x:c r="H10" t="n">
        <x:f>--(SUM(C10:G10)&gt;=2)</x:f>
        <x:v>0</x:v>
      </x:c>
    </x:row>
    <x:row r="11">
      <x:c r="A11" t="n">
        <x:f>'01 Sensory Input'!A11</x:f>
        <x:v>1</x:v>
      </x:c>
      <x:c r="B11" t="n">
        <x:f>'01 Sensory Input'!B11</x:f>
        <x:v>6</x:v>
      </x:c>
      <x:c r="C11" t="n">
        <x:f>IF(A11=A10,--(ABS('01 Sensory Input'!C11-'01 Sensory Input'!C10)&gt;=$B$3),0)</x:f>
        <x:v>0</x:v>
      </x:c>
      <x:c r="D11" t="n">
        <x:f>IF(A11=A10,--(ABS('01 Sensory Input'!D11-'01 Sensory Input'!D10)&gt;=$B$3),0)</x:f>
        <x:v>0</x:v>
      </x:c>
      <x:c r="E11" t="n">
        <x:f>IF(A11=A10,--(ABS('01 Sensory Input'!E11-'01 Sensory Input'!E10)&gt;=$B$3),0)</x:f>
        <x:v>0</x:v>
      </x:c>
      <x:c r="F11" t="n">
        <x:f>IF(A11=A10,--(ABS('01 Sensory Input'!F11-'01 Sensory Input'!F10)&gt;=$B$3),0)</x:f>
        <x:v>0</x:v>
      </x:c>
      <x:c r="G11" t="n">
        <x:f>IF(A11=A10,--(ABS('01 Sensory Input'!G11-'01 Sensory Input'!G10)&gt;=$B$3),0)</x:f>
        <x:v>0</x:v>
      </x:c>
      <x:c r="H11" t="n">
        <x:f>--(SUM(C11:G11)&gt;=2)</x:f>
        <x:v>0</x:v>
      </x:c>
    </x:row>
    <x:row r="12">
      <x:c r="A12" t="n">
        <x:f>'01 Sensory Input'!A12</x:f>
        <x:v>1</x:v>
      </x:c>
      <x:c r="B12" t="n">
        <x:f>'01 Sensory Input'!B12</x:f>
        <x:v>7</x:v>
      </x:c>
      <x:c r="C12" t="n">
        <x:f>IF(A12=A11,--(ABS('01 Sensory Input'!C12-'01 Sensory Input'!C11)&gt;=$B$3),0)</x:f>
        <x:v>0</x:v>
      </x:c>
      <x:c r="D12" t="n">
        <x:f>IF(A12=A11,--(ABS('01 Sensory Input'!D12-'01 Sensory Input'!D11)&gt;=$B$3),0)</x:f>
        <x:v>0</x:v>
      </x:c>
      <x:c r="E12" t="n">
        <x:f>IF(A12=A11,--(ABS('01 Sensory Input'!E12-'01 Sensory Input'!E11)&gt;=$B$3),0)</x:f>
        <x:v>0</x:v>
      </x:c>
      <x:c r="F12" t="n">
        <x:f>IF(A12=A11,--(ABS('01 Sensory Input'!F12-'01 Sensory Input'!F11)&gt;=$B$3),0)</x:f>
        <x:v>0</x:v>
      </x:c>
      <x:c r="G12" t="n">
        <x:f>IF(A12=A11,--(ABS('01 Sensory Input'!G12-'01 Sensory Input'!G11)&gt;=$B$3),0)</x:f>
        <x:v>0</x:v>
      </x:c>
      <x:c r="H12" t="n">
        <x:f>--(SUM(C12:G12)&gt;=2)</x:f>
        <x:v>0</x:v>
      </x:c>
    </x:row>
    <x:row r="13">
      <x:c r="A13" t="n">
        <x:f>'01 Sensory Input'!A13</x:f>
        <x:v>1</x:v>
      </x:c>
      <x:c r="B13" t="n">
        <x:f>'01 Sensory Input'!B13</x:f>
        <x:v>8</x:v>
      </x:c>
      <x:c r="C13" t="n">
        <x:f>IF(A13=A12,--(ABS('01 Sensory Input'!C13-'01 Sensory Input'!C12)&gt;=$B$3),0)</x:f>
        <x:v>0</x:v>
      </x:c>
      <x:c r="D13" t="n">
        <x:f>IF(A13=A12,--(ABS('01 Sensory Input'!D13-'01 Sensory Input'!D12)&gt;=$B$3),0)</x:f>
        <x:v>0</x:v>
      </x:c>
      <x:c r="E13" t="n">
        <x:f>IF(A13=A12,--(ABS('01 Sensory Input'!E13-'01 Sensory Input'!E12)&gt;=$B$3),0)</x:f>
        <x:v>0</x:v>
      </x:c>
      <x:c r="F13" t="n">
        <x:f>IF(A13=A12,--(ABS('01 Sensory Input'!F13-'01 Sensory Input'!F12)&gt;=$B$3),0)</x:f>
        <x:v>0</x:v>
      </x:c>
      <x:c r="G13" t="n">
        <x:f>IF(A13=A12,--(ABS('01 Sensory Input'!G13-'01 Sensory Input'!G12)&gt;=$B$3),0)</x:f>
        <x:v>0</x:v>
      </x:c>
      <x:c r="H13" t="n">
        <x:f>--(SUM(C13:G13)&gt;=2)</x:f>
        <x:v>0</x:v>
      </x:c>
    </x:row>
    <x:row r="14">
      <x:c r="A14" t="n">
        <x:f>'01 Sensory Input'!A14</x:f>
        <x:v>1</x:v>
      </x:c>
      <x:c r="B14" t="n">
        <x:f>'01 Sensory Input'!B14</x:f>
        <x:v>9</x:v>
      </x:c>
      <x:c r="C14" t="n">
        <x:f>IF(A14=A13,--(ABS('01 Sensory Input'!C14-'01 Sensory Input'!C13)&gt;=$B$3),0)</x:f>
        <x:v>0</x:v>
      </x:c>
      <x:c r="D14" t="n">
        <x:f>IF(A14=A13,--(ABS('01 Sensory Input'!D14-'01 Sensory Input'!D13)&gt;=$B$3),0)</x:f>
        <x:v>0</x:v>
      </x:c>
      <x:c r="E14" t="n">
        <x:f>IF(A14=A13,--(ABS('01 Sensory Input'!E14-'01 Sensory Input'!E13)&gt;=$B$3),0)</x:f>
        <x:v>0</x:v>
      </x:c>
      <x:c r="F14" t="n">
        <x:f>IF(A14=A13,--(ABS('01 Sensory Input'!F14-'01 Sensory Input'!F13)&gt;=$B$3),0)</x:f>
        <x:v>0</x:v>
      </x:c>
      <x:c r="G14" t="n">
        <x:f>IF(A14=A13,--(ABS('01 Sensory Input'!G14-'01 Sensory Input'!G13)&gt;=$B$3),0)</x:f>
        <x:v>0</x:v>
      </x:c>
      <x:c r="H14" t="n">
        <x:f>--(SUM(C14:G14)&gt;=2)</x:f>
        <x:v>0</x:v>
      </x:c>
    </x:row>
    <x:row r="15">
      <x:c r="A15" t="n">
        <x:f>'01 Sensory Input'!A15</x:f>
        <x:v>1</x:v>
      </x:c>
      <x:c r="B15" t="n">
        <x:f>'01 Sensory Input'!B15</x:f>
        <x:v>10</x:v>
      </x:c>
      <x:c r="C15" t="n">
        <x:f>IF(A15=A14,--(ABS('01 Sensory Input'!C15-'01 Sensory Input'!C14)&gt;=$B$3),0)</x:f>
        <x:v>0</x:v>
      </x:c>
      <x:c r="D15" t="n">
        <x:f>IF(A15=A14,--(ABS('01 Sensory Input'!D15-'01 Sensory Input'!D14)&gt;=$B$3),0)</x:f>
        <x:v>0</x:v>
      </x:c>
      <x:c r="E15" t="n">
        <x:f>IF(A15=A14,--(ABS('01 Sensory Input'!E15-'01 Sensory Input'!E14)&gt;=$B$3),0)</x:f>
        <x:v>0</x:v>
      </x:c>
      <x:c r="F15" t="n">
        <x:f>IF(A15=A14,--(ABS('01 Sensory Input'!F15-'01 Sensory Input'!F14)&gt;=$B$3),0)</x:f>
        <x:v>0</x:v>
      </x:c>
      <x:c r="G15" t="n">
        <x:f>IF(A15=A14,--(ABS('01 Sensory Input'!G15-'01 Sensory Input'!G14)&gt;=$B$3),0)</x:f>
        <x:v>0</x:v>
      </x:c>
      <x:c r="H15" t="n">
        <x:f>--(SUM(C15:G15)&gt;=2)</x:f>
        <x:v>0</x:v>
      </x:c>
    </x:row>
    <x:row r="16">
      <x:c r="A16" t="n">
        <x:f>'01 Sensory Input'!A16</x:f>
        <x:v>1</x:v>
      </x:c>
      <x:c r="B16" t="n">
        <x:f>'01 Sensory Input'!B16</x:f>
        <x:v>11</x:v>
      </x:c>
      <x:c r="C16" t="n">
        <x:f>IF(A16=A15,--(ABS('01 Sensory Input'!C16-'01 Sensory Input'!C15)&gt;=$B$3),0)</x:f>
        <x:v>0</x:v>
      </x:c>
      <x:c r="D16" t="n">
        <x:f>IF(A16=A15,--(ABS('01 Sensory Input'!D16-'01 Sensory Input'!D15)&gt;=$B$3),0)</x:f>
        <x:v>0</x:v>
      </x:c>
      <x:c r="E16" t="n">
        <x:f>IF(A16=A15,--(ABS('01 Sensory Input'!E16-'01 Sensory Input'!E15)&gt;=$B$3),0)</x:f>
        <x:v>0</x:v>
      </x:c>
      <x:c r="F16" t="n">
        <x:f>IF(A16=A15,--(ABS('01 Sensory Input'!F16-'01 Sensory Input'!F15)&gt;=$B$3),0)</x:f>
        <x:v>0</x:v>
      </x:c>
      <x:c r="G16" t="n">
        <x:f>IF(A16=A15,--(ABS('01 Sensory Input'!G16-'01 Sensory Input'!G15)&gt;=$B$3),0)</x:f>
        <x:v>0</x:v>
      </x:c>
      <x:c r="H16" t="n">
        <x:f>--(SUM(C16:G16)&gt;=2)</x:f>
        <x:v>0</x:v>
      </x:c>
    </x:row>
    <x:row r="17">
      <x:c r="A17" t="n">
        <x:f>'01 Sensory Input'!A17</x:f>
        <x:v>1</x:v>
      </x:c>
      <x:c r="B17" t="n">
        <x:f>'01 Sensory Input'!B17</x:f>
        <x:v>12</x:v>
      </x:c>
      <x:c r="C17" t="n">
        <x:f>IF(A17=A16,--(ABS('01 Sensory Input'!C17-'01 Sensory Input'!C16)&gt;=$B$3),0)</x:f>
        <x:v>0</x:v>
      </x:c>
      <x:c r="D17" t="n">
        <x:f>IF(A17=A16,--(ABS('01 Sensory Input'!D17-'01 Sensory Input'!D16)&gt;=$B$3),0)</x:f>
        <x:v>0</x:v>
      </x:c>
      <x:c r="E17" t="n">
        <x:f>IF(A17=A16,--(ABS('01 Sensory Input'!E17-'01 Sensory Input'!E16)&gt;=$B$3),0)</x:f>
        <x:v>0</x:v>
      </x:c>
      <x:c r="F17" t="n">
        <x:f>IF(A17=A16,--(ABS('01 Sensory Input'!F17-'01 Sensory Input'!F16)&gt;=$B$3),0)</x:f>
        <x:v>0</x:v>
      </x:c>
      <x:c r="G17" t="n">
        <x:f>IF(A17=A16,--(ABS('01 Sensory Input'!G17-'01 Sensory Input'!G16)&gt;=$B$3),0)</x:f>
        <x:v>0</x:v>
      </x:c>
      <x:c r="H17" t="n">
        <x:f>--(SUM(C17:G17)&gt;=2)</x:f>
        <x:v>0</x:v>
      </x:c>
    </x:row>
    <x:row r="18">
      <x:c r="A18" t="n">
        <x:f>'01 Sensory Input'!A18</x:f>
        <x:v>1</x:v>
      </x:c>
      <x:c r="B18" t="n">
        <x:f>'01 Sensory Input'!B18</x:f>
        <x:v>13</x:v>
      </x:c>
      <x:c r="C18" t="n">
        <x:f>IF(A18=A17,--(ABS('01 Sensory Input'!C18-'01 Sensory Input'!C17)&gt;=$B$3),0)</x:f>
        <x:v>0</x:v>
      </x:c>
      <x:c r="D18" t="n">
        <x:f>IF(A18=A17,--(ABS('01 Sensory Input'!D18-'01 Sensory Input'!D17)&gt;=$B$3),0)</x:f>
        <x:v>0</x:v>
      </x:c>
      <x:c r="E18" t="n">
        <x:f>IF(A18=A17,--(ABS('01 Sensory Input'!E18-'01 Sensory Input'!E17)&gt;=$B$3),0)</x:f>
        <x:v>0</x:v>
      </x:c>
      <x:c r="F18" t="n">
        <x:f>IF(A18=A17,--(ABS('01 Sensory Input'!F18-'01 Sensory Input'!F17)&gt;=$B$3),0)</x:f>
        <x:v>0</x:v>
      </x:c>
      <x:c r="G18" t="n">
        <x:f>IF(A18=A17,--(ABS('01 Sensory Input'!G18-'01 Sensory Input'!G17)&gt;=$B$3),0)</x:f>
        <x:v>0</x:v>
      </x:c>
      <x:c r="H18" t="n">
        <x:f>--(SUM(C18:G18)&gt;=2)</x:f>
        <x:v>0</x:v>
      </x:c>
    </x:row>
    <x:row r="19">
      <x:c r="A19" t="n">
        <x:f>'01 Sensory Input'!A19</x:f>
        <x:v>1</x:v>
      </x:c>
      <x:c r="B19" t="n">
        <x:f>'01 Sensory Input'!B19</x:f>
        <x:v>14</x:v>
      </x:c>
      <x:c r="C19" t="n">
        <x:f>IF(A19=A18,--(ABS('01 Sensory Input'!C19-'01 Sensory Input'!C18)&gt;=$B$3),0)</x:f>
        <x:v>0</x:v>
      </x:c>
      <x:c r="D19" t="n">
        <x:f>IF(A19=A18,--(ABS('01 Sensory Input'!D19-'01 Sensory Input'!D18)&gt;=$B$3),0)</x:f>
        <x:v>0</x:v>
      </x:c>
      <x:c r="E19" t="n">
        <x:f>IF(A19=A18,--(ABS('01 Sensory Input'!E19-'01 Sensory Input'!E18)&gt;=$B$3),0)</x:f>
        <x:v>0</x:v>
      </x:c>
      <x:c r="F19" t="n">
        <x:f>IF(A19=A18,--(ABS('01 Sensory Input'!F19-'01 Sensory Input'!F18)&gt;=$B$3),0)</x:f>
        <x:v>0</x:v>
      </x:c>
      <x:c r="G19" t="n">
        <x:f>IF(A19=A18,--(ABS('01 Sensory Input'!G19-'01 Sensory Input'!G18)&gt;=$B$3),0)</x:f>
        <x:v>0</x:v>
      </x:c>
      <x:c r="H19" t="n">
        <x:f>--(SUM(C19:G19)&gt;=2)</x:f>
        <x:v>0</x:v>
      </x:c>
    </x:row>
    <x:row r="20">
      <x:c r="A20" t="n">
        <x:f>'01 Sensory Input'!A20</x:f>
        <x:v>1</x:v>
      </x:c>
      <x:c r="B20" t="n">
        <x:f>'01 Sensory Input'!B20</x:f>
        <x:v>15</x:v>
      </x:c>
      <x:c r="C20" t="n">
        <x:f>IF(A20=A19,--(ABS('01 Sensory Input'!C20-'01 Sensory Input'!C19)&gt;=$B$3),0)</x:f>
        <x:v>0</x:v>
      </x:c>
      <x:c r="D20" t="n">
        <x:f>IF(A20=A19,--(ABS('01 Sensory Input'!D20-'01 Sensory Input'!D19)&gt;=$B$3),0)</x:f>
        <x:v>0</x:v>
      </x:c>
      <x:c r="E20" t="n">
        <x:f>IF(A20=A19,--(ABS('01 Sensory Input'!E20-'01 Sensory Input'!E19)&gt;=$B$3),0)</x:f>
        <x:v>0</x:v>
      </x:c>
      <x:c r="F20" t="n">
        <x:f>IF(A20=A19,--(ABS('01 Sensory Input'!F20-'01 Sensory Input'!F19)&gt;=$B$3),0)</x:f>
        <x:v>0</x:v>
      </x:c>
      <x:c r="G20" t="n">
        <x:f>IF(A20=A19,--(ABS('01 Sensory Input'!G20-'01 Sensory Input'!G19)&gt;=$B$3),0)</x:f>
        <x:v>0</x:v>
      </x:c>
      <x:c r="H20" t="n">
        <x:f>--(SUM(C20:G20)&gt;=2)</x:f>
        <x:v>0</x:v>
      </x:c>
    </x:row>
    <x:row r="21">
      <x:c r="A21" t="n">
        <x:f>'01 Sensory Input'!A21</x:f>
        <x:v>1</x:v>
      </x:c>
      <x:c r="B21" t="n">
        <x:f>'01 Sensory Input'!B21</x:f>
        <x:v>16</x:v>
      </x:c>
      <x:c r="C21" t="n">
        <x:f>IF(A21=A20,--(ABS('01 Sensory Input'!C21-'01 Sensory Input'!C20)&gt;=$B$3),0)</x:f>
        <x:v>0</x:v>
      </x:c>
      <x:c r="D21" t="n">
        <x:f>IF(A21=A20,--(ABS('01 Sensory Input'!D21-'01 Sensory Input'!D20)&gt;=$B$3),0)</x:f>
        <x:v>0</x:v>
      </x:c>
      <x:c r="E21" t="n">
        <x:f>IF(A21=A20,--(ABS('01 Sensory Input'!E21-'01 Sensory Input'!E20)&gt;=$B$3),0)</x:f>
        <x:v>0</x:v>
      </x:c>
      <x:c r="F21" t="n">
        <x:f>IF(A21=A20,--(ABS('01 Sensory Input'!F21-'01 Sensory Input'!F20)&gt;=$B$3),0)</x:f>
        <x:v>0</x:v>
      </x:c>
      <x:c r="G21" t="n">
        <x:f>IF(A21=A20,--(ABS('01 Sensory Input'!G21-'01 Sensory Input'!G20)&gt;=$B$3),0)</x:f>
        <x:v>0</x:v>
      </x:c>
      <x:c r="H21" t="n">
        <x:f>--(SUM(C21:G21)&gt;=2)</x:f>
        <x:v>0</x:v>
      </x:c>
    </x:row>
    <x:row r="22">
      <x:c r="A22" t="n">
        <x:f>'01 Sensory Input'!A22</x:f>
        <x:v>1</x:v>
      </x:c>
      <x:c r="B22" t="n">
        <x:f>'01 Sensory Input'!B22</x:f>
        <x:v>17</x:v>
      </x:c>
      <x:c r="C22" t="n">
        <x:f>IF(A22=A21,--(ABS('01 Sensory Input'!C22-'01 Sensory Input'!C21)&gt;=$B$3),0)</x:f>
        <x:v>0</x:v>
      </x:c>
      <x:c r="D22" t="n">
        <x:f>IF(A22=A21,--(ABS('01 Sensory Input'!D22-'01 Sensory Input'!D21)&gt;=$B$3),0)</x:f>
        <x:v>0</x:v>
      </x:c>
      <x:c r="E22" t="n">
        <x:f>IF(A22=A21,--(ABS('01 Sensory Input'!E22-'01 Sensory Input'!E21)&gt;=$B$3),0)</x:f>
        <x:v>0</x:v>
      </x:c>
      <x:c r="F22" t="n">
        <x:f>IF(A22=A21,--(ABS('01 Sensory Input'!F22-'01 Sensory Input'!F21)&gt;=$B$3),0)</x:f>
        <x:v>0</x:v>
      </x:c>
      <x:c r="G22" t="n">
        <x:f>IF(A22=A21,--(ABS('01 Sensory Input'!G22-'01 Sensory Input'!G21)&gt;=$B$3),0)</x:f>
        <x:v>0</x:v>
      </x:c>
      <x:c r="H22" t="n">
        <x:f>--(SUM(C22:G22)&gt;=2)</x:f>
        <x:v>0</x:v>
      </x:c>
    </x:row>
    <x:row r="23">
      <x:c r="A23" t="n">
        <x:f>'01 Sensory Input'!A23</x:f>
        <x:v>1</x:v>
      </x:c>
      <x:c r="B23" t="n">
        <x:f>'01 Sensory Input'!B23</x:f>
        <x:v>18</x:v>
      </x:c>
      <x:c r="C23" t="n">
        <x:f>IF(A23=A22,--(ABS('01 Sensory Input'!C23-'01 Sensory Input'!C22)&gt;=$B$3),0)</x:f>
        <x:v>0</x:v>
      </x:c>
      <x:c r="D23" t="n">
        <x:f>IF(A23=A22,--(ABS('01 Sensory Input'!D23-'01 Sensory Input'!D22)&gt;=$B$3),0)</x:f>
        <x:v>0</x:v>
      </x:c>
      <x:c r="E23" t="n">
        <x:f>IF(A23=A22,--(ABS('01 Sensory Input'!E23-'01 Sensory Input'!E22)&gt;=$B$3),0)</x:f>
        <x:v>0</x:v>
      </x:c>
      <x:c r="F23" t="n">
        <x:f>IF(A23=A22,--(ABS('01 Sensory Input'!F23-'01 Sensory Input'!F22)&gt;=$B$3),0)</x:f>
        <x:v>0</x:v>
      </x:c>
      <x:c r="G23" t="n">
        <x:f>IF(A23=A22,--(ABS('01 Sensory Input'!G23-'01 Sensory Input'!G22)&gt;=$B$3),0)</x:f>
        <x:v>0</x:v>
      </x:c>
      <x:c r="H23" t="n">
        <x:f>--(SUM(C23:G23)&gt;=2)</x:f>
        <x:v>0</x:v>
      </x:c>
    </x:row>
    <x:row r="24">
      <x:c r="A24" t="n">
        <x:f>'01 Sensory Input'!A24</x:f>
        <x:v>1</x:v>
      </x:c>
      <x:c r="B24" t="n">
        <x:f>'01 Sensory Input'!B24</x:f>
        <x:v>19</x:v>
      </x:c>
      <x:c r="C24" t="n">
        <x:f>IF(A24=A23,--(ABS('01 Sensory Input'!C24-'01 Sensory Input'!C23)&gt;=$B$3),0)</x:f>
        <x:v>0</x:v>
      </x:c>
      <x:c r="D24" t="n">
        <x:f>IF(A24=A23,--(ABS('01 Sensory Input'!D24-'01 Sensory Input'!D23)&gt;=$B$3),0)</x:f>
        <x:v>0</x:v>
      </x:c>
      <x:c r="E24" t="n">
        <x:f>IF(A24=A23,--(ABS('01 Sensory Input'!E24-'01 Sensory Input'!E23)&gt;=$B$3),0)</x:f>
        <x:v>0</x:v>
      </x:c>
      <x:c r="F24" t="n">
        <x:f>IF(A24=A23,--(ABS('01 Sensory Input'!F24-'01 Sensory Input'!F23)&gt;=$B$3),0)</x:f>
        <x:v>0</x:v>
      </x:c>
      <x:c r="G24" t="n">
        <x:f>IF(A24=A23,--(ABS('01 Sensory Input'!G24-'01 Sensory Input'!G23)&gt;=$B$3),0)</x:f>
        <x:v>0</x:v>
      </x:c>
      <x:c r="H24" t="n">
        <x:f>--(SUM(C24:G24)&gt;=2)</x:f>
        <x:v>0</x:v>
      </x:c>
    </x:row>
    <x:row r="25">
      <x:c r="A25" t="n">
        <x:f>'01 Sensory Input'!A25</x:f>
        <x:v>1</x:v>
      </x:c>
      <x:c r="B25" t="n">
        <x:f>'01 Sensory Input'!B25</x:f>
        <x:v>20</x:v>
      </x:c>
      <x:c r="C25" t="n">
        <x:f>IF(A25=A24,--(ABS('01 Sensory Input'!C25-'01 Sensory Input'!C24)&gt;=$B$3),0)</x:f>
        <x:v>0</x:v>
      </x:c>
      <x:c r="D25" t="n">
        <x:f>IF(A25=A24,--(ABS('01 Sensory Input'!D25-'01 Sensory Input'!D24)&gt;=$B$3),0)</x:f>
        <x:v>0</x:v>
      </x:c>
      <x:c r="E25" t="n">
        <x:f>IF(A25=A24,--(ABS('01 Sensory Input'!E25-'01 Sensory Input'!E24)&gt;=$B$3),0)</x:f>
        <x:v>0</x:v>
      </x:c>
      <x:c r="F25" t="n">
        <x:f>IF(A25=A24,--(ABS('01 Sensory Input'!F25-'01 Sensory Input'!F24)&gt;=$B$3),0)</x:f>
        <x:v>0</x:v>
      </x:c>
      <x:c r="G25" t="n">
        <x:f>IF(A25=A24,--(ABS('01 Sensory Input'!G25-'01 Sensory Input'!G24)&gt;=$B$3),0)</x:f>
        <x:v>0</x:v>
      </x:c>
      <x:c r="H25" t="n">
        <x:f>--(SUM(C25:G25)&gt;=2)</x:f>
        <x:v>0</x:v>
      </x:c>
    </x:row>
    <x:row r="26">
      <x:c r="A26" t="n">
        <x:f>'01 Sensory Input'!A26</x:f>
        <x:v>2</x:v>
      </x:c>
      <x:c r="B26" t="n">
        <x:f>'01 Sensory Input'!B26</x:f>
        <x:v>1</x:v>
      </x:c>
      <x:c r="C26" t="n">
        <x:f>IF(A26=A25,--(ABS('01 Sensory Input'!C26-'01 Sensory Input'!C25)&gt;=$B$3),0)</x:f>
        <x:v>0</x:v>
      </x:c>
      <x:c r="D26" t="n">
        <x:f>IF(A26=A25,--(ABS('01 Sensory Input'!D26-'01 Sensory Input'!D25)&gt;=$B$3),0)</x:f>
        <x:v>0</x:v>
      </x:c>
      <x:c r="E26" t="n">
        <x:f>IF(A26=A25,--(ABS('01 Sensory Input'!E26-'01 Sensory Input'!E25)&gt;=$B$3),0)</x:f>
        <x:v>0</x:v>
      </x:c>
      <x:c r="F26" t="n">
        <x:f>IF(A26=A25,--(ABS('01 Sensory Input'!F26-'01 Sensory Input'!F25)&gt;=$B$3),0)</x:f>
        <x:v>0</x:v>
      </x:c>
      <x:c r="G26" t="n">
        <x:f>IF(A26=A25,--(ABS('01 Sensory Input'!G26-'01 Sensory Input'!G25)&gt;=$B$3),0)</x:f>
        <x:v>0</x:v>
      </x:c>
      <x:c r="H26" t="n">
        <x:f>--(SUM(C26:G26)&gt;=2)</x:f>
        <x:v>0</x:v>
      </x:c>
    </x:row>
    <x:row r="27">
      <x:c r="A27" t="n">
        <x:f>'01 Sensory Input'!A27</x:f>
        <x:v>2</x:v>
      </x:c>
      <x:c r="B27" t="n">
        <x:f>'01 Sensory Input'!B27</x:f>
        <x:v>2</x:v>
      </x:c>
      <x:c r="C27" t="n">
        <x:f>IF(A27=A26,--(ABS('01 Sensory Input'!C27-'01 Sensory Input'!C26)&gt;=$B$3),0)</x:f>
        <x:v>0</x:v>
      </x:c>
      <x:c r="D27" t="n">
        <x:f>IF(A27=A26,--(ABS('01 Sensory Input'!D27-'01 Sensory Input'!D26)&gt;=$B$3),0)</x:f>
        <x:v>0</x:v>
      </x:c>
      <x:c r="E27" t="n">
        <x:f>IF(A27=A26,--(ABS('01 Sensory Input'!E27-'01 Sensory Input'!E26)&gt;=$B$3),0)</x:f>
        <x:v>0</x:v>
      </x:c>
      <x:c r="F27" t="n">
        <x:f>IF(A27=A26,--(ABS('01 Sensory Input'!F27-'01 Sensory Input'!F26)&gt;=$B$3),0)</x:f>
        <x:v>0</x:v>
      </x:c>
      <x:c r="G27" t="n">
        <x:f>IF(A27=A26,--(ABS('01 Sensory Input'!G27-'01 Sensory Input'!G26)&gt;=$B$3),0)</x:f>
        <x:v>0</x:v>
      </x:c>
      <x:c r="H27" t="n">
        <x:f>--(SUM(C27:G27)&gt;=2)</x:f>
        <x:v>0</x:v>
      </x:c>
    </x:row>
    <x:row r="28">
      <x:c r="A28" t="n">
        <x:f>'01 Sensory Input'!A28</x:f>
        <x:v>2</x:v>
      </x:c>
      <x:c r="B28" t="n">
        <x:f>'01 Sensory Input'!B28</x:f>
        <x:v>3</x:v>
      </x:c>
      <x:c r="C28" t="n">
        <x:f>IF(A28=A27,--(ABS('01 Sensory Input'!C28-'01 Sensory Input'!C27)&gt;=$B$3),0)</x:f>
        <x:v>0</x:v>
      </x:c>
      <x:c r="D28" t="n">
        <x:f>IF(A28=A27,--(ABS('01 Sensory Input'!D28-'01 Sensory Input'!D27)&gt;=$B$3),0)</x:f>
        <x:v>0</x:v>
      </x:c>
      <x:c r="E28" t="n">
        <x:f>IF(A28=A27,--(ABS('01 Sensory Input'!E28-'01 Sensory Input'!E27)&gt;=$B$3),0)</x:f>
        <x:v>0</x:v>
      </x:c>
      <x:c r="F28" t="n">
        <x:f>IF(A28=A27,--(ABS('01 Sensory Input'!F28-'01 Sensory Input'!F27)&gt;=$B$3),0)</x:f>
        <x:v>0</x:v>
      </x:c>
      <x:c r="G28" t="n">
        <x:f>IF(A28=A27,--(ABS('01 Sensory Input'!G28-'01 Sensory Input'!G27)&gt;=$B$3),0)</x:f>
        <x:v>0</x:v>
      </x:c>
      <x:c r="H28" t="n">
        <x:f>--(SUM(C28:G28)&gt;=2)</x:f>
        <x:v>0</x:v>
      </x:c>
    </x:row>
    <x:row r="29">
      <x:c r="A29" t="n">
        <x:f>'01 Sensory Input'!A29</x:f>
        <x:v>2</x:v>
      </x:c>
      <x:c r="B29" t="n">
        <x:f>'01 Sensory Input'!B29</x:f>
        <x:v>4</x:v>
      </x:c>
      <x:c r="C29" t="n">
        <x:f>IF(A29=A28,--(ABS('01 Sensory Input'!C29-'01 Sensory Input'!C28)&gt;=$B$3),0)</x:f>
        <x:v>0</x:v>
      </x:c>
      <x:c r="D29" t="n">
        <x:f>IF(A29=A28,--(ABS('01 Sensory Input'!D29-'01 Sensory Input'!D28)&gt;=$B$3),0)</x:f>
        <x:v>0</x:v>
      </x:c>
      <x:c r="E29" t="n">
        <x:f>IF(A29=A28,--(ABS('01 Sensory Input'!E29-'01 Sensory Input'!E28)&gt;=$B$3),0)</x:f>
        <x:v>0</x:v>
      </x:c>
      <x:c r="F29" t="n">
        <x:f>IF(A29=A28,--(ABS('01 Sensory Input'!F29-'01 Sensory Input'!F28)&gt;=$B$3),0)</x:f>
        <x:v>0</x:v>
      </x:c>
      <x:c r="G29" t="n">
        <x:f>IF(A29=A28,--(ABS('01 Sensory Input'!G29-'01 Sensory Input'!G28)&gt;=$B$3),0)</x:f>
        <x:v>0</x:v>
      </x:c>
      <x:c r="H29" t="n">
        <x:f>--(SUM(C29:G29)&gt;=2)</x:f>
        <x:v>0</x:v>
      </x:c>
    </x:row>
    <x:row r="30">
      <x:c r="A30" t="n">
        <x:f>'01 Sensory Input'!A30</x:f>
        <x:v>2</x:v>
      </x:c>
      <x:c r="B30" t="n">
        <x:f>'01 Sensory Input'!B30</x:f>
        <x:v>5</x:v>
      </x:c>
      <x:c r="C30" t="n">
        <x:f>IF(A30=A29,--(ABS('01 Sensory Input'!C30-'01 Sensory Input'!C29)&gt;=$B$3),0)</x:f>
        <x:v>0</x:v>
      </x:c>
      <x:c r="D30" t="n">
        <x:f>IF(A30=A29,--(ABS('01 Sensory Input'!D30-'01 Sensory Input'!D29)&gt;=$B$3),0)</x:f>
        <x:v>0</x:v>
      </x:c>
      <x:c r="E30" t="n">
        <x:f>IF(A30=A29,--(ABS('01 Sensory Input'!E30-'01 Sensory Input'!E29)&gt;=$B$3),0)</x:f>
        <x:v>0</x:v>
      </x:c>
      <x:c r="F30" t="n">
        <x:f>IF(A30=A29,--(ABS('01 Sensory Input'!F30-'01 Sensory Input'!F29)&gt;=$B$3),0)</x:f>
        <x:v>0</x:v>
      </x:c>
      <x:c r="G30" t="n">
        <x:f>IF(A30=A29,--(ABS('01 Sensory Input'!G30-'01 Sensory Input'!G29)&gt;=$B$3),0)</x:f>
        <x:v>0</x:v>
      </x:c>
      <x:c r="H30" t="n">
        <x:f>--(SUM(C30:G30)&gt;=2)</x:f>
        <x:v>0</x:v>
      </x:c>
    </x:row>
    <x:row r="31">
      <x:c r="A31" t="n">
        <x:f>'01 Sensory Input'!A31</x:f>
        <x:v>2</x:v>
      </x:c>
      <x:c r="B31" t="n">
        <x:f>'01 Sensory Input'!B31</x:f>
        <x:v>6</x:v>
      </x:c>
      <x:c r="C31" t="n">
        <x:f>IF(A31=A30,--(ABS('01 Sensory Input'!C31-'01 Sensory Input'!C30)&gt;=$B$3),0)</x:f>
        <x:v>0</x:v>
      </x:c>
      <x:c r="D31" t="n">
        <x:f>IF(A31=A30,--(ABS('01 Sensory Input'!D31-'01 Sensory Input'!D30)&gt;=$B$3),0)</x:f>
        <x:v>0</x:v>
      </x:c>
      <x:c r="E31" t="n">
        <x:f>IF(A31=A30,--(ABS('01 Sensory Input'!E31-'01 Sensory Input'!E30)&gt;=$B$3),0)</x:f>
        <x:v>0</x:v>
      </x:c>
      <x:c r="F31" t="n">
        <x:f>IF(A31=A30,--(ABS('01 Sensory Input'!F31-'01 Sensory Input'!F30)&gt;=$B$3),0)</x:f>
        <x:v>0</x:v>
      </x:c>
      <x:c r="G31" t="n">
        <x:f>IF(A31=A30,--(ABS('01 Sensory Input'!G31-'01 Sensory Input'!G30)&gt;=$B$3),0)</x:f>
        <x:v>0</x:v>
      </x:c>
      <x:c r="H31" t="n">
        <x:f>--(SUM(C31:G31)&gt;=2)</x:f>
        <x:v>0</x:v>
      </x:c>
    </x:row>
    <x:row r="32">
      <x:c r="A32" t="n">
        <x:f>'01 Sensory Input'!A32</x:f>
        <x:v>2</x:v>
      </x:c>
      <x:c r="B32" t="n">
        <x:f>'01 Sensory Input'!B32</x:f>
        <x:v>7</x:v>
      </x:c>
      <x:c r="C32" t="n">
        <x:f>IF(A32=A31,--(ABS('01 Sensory Input'!C32-'01 Sensory Input'!C31)&gt;=$B$3),0)</x:f>
        <x:v>0</x:v>
      </x:c>
      <x:c r="D32" t="n">
        <x:f>IF(A32=A31,--(ABS('01 Sensory Input'!D32-'01 Sensory Input'!D31)&gt;=$B$3),0)</x:f>
        <x:v>0</x:v>
      </x:c>
      <x:c r="E32" t="n">
        <x:f>IF(A32=A31,--(ABS('01 Sensory Input'!E32-'01 Sensory Input'!E31)&gt;=$B$3),0)</x:f>
        <x:v>0</x:v>
      </x:c>
      <x:c r="F32" t="n">
        <x:f>IF(A32=A31,--(ABS('01 Sensory Input'!F32-'01 Sensory Input'!F31)&gt;=$B$3),0)</x:f>
        <x:v>0</x:v>
      </x:c>
      <x:c r="G32" t="n">
        <x:f>IF(A32=A31,--(ABS('01 Sensory Input'!G32-'01 Sensory Input'!G31)&gt;=$B$3),0)</x:f>
        <x:v>0</x:v>
      </x:c>
      <x:c r="H32" t="n">
        <x:f>--(SUM(C32:G32)&gt;=2)</x:f>
        <x:v>0</x:v>
      </x:c>
    </x:row>
    <x:row r="33">
      <x:c r="A33" t="n">
        <x:f>'01 Sensory Input'!A33</x:f>
        <x:v>2</x:v>
      </x:c>
      <x:c r="B33" t="n">
        <x:f>'01 Sensory Input'!B33</x:f>
        <x:v>8</x:v>
      </x:c>
      <x:c r="C33" t="n">
        <x:f>IF(A33=A32,--(ABS('01 Sensory Input'!C33-'01 Sensory Input'!C32)&gt;=$B$3),0)</x:f>
        <x:v>0</x:v>
      </x:c>
      <x:c r="D33" t="n">
        <x:f>IF(A33=A32,--(ABS('01 Sensory Input'!D33-'01 Sensory Input'!D32)&gt;=$B$3),0)</x:f>
        <x:v>0</x:v>
      </x:c>
      <x:c r="E33" t="n">
        <x:f>IF(A33=A32,--(ABS('01 Sensory Input'!E33-'01 Sensory Input'!E32)&gt;=$B$3),0)</x:f>
        <x:v>0</x:v>
      </x:c>
      <x:c r="F33" t="n">
        <x:f>IF(A33=A32,--(ABS('01 Sensory Input'!F33-'01 Sensory Input'!F32)&gt;=$B$3),0)</x:f>
        <x:v>0</x:v>
      </x:c>
      <x:c r="G33" t="n">
        <x:f>IF(A33=A32,--(ABS('01 Sensory Input'!G33-'01 Sensory Input'!G32)&gt;=$B$3),0)</x:f>
        <x:v>0</x:v>
      </x:c>
      <x:c r="H33" t="n">
        <x:f>--(SUM(C33:G33)&gt;=2)</x:f>
        <x:v>0</x:v>
      </x:c>
    </x:row>
    <x:row r="34">
      <x:c r="A34" t="n">
        <x:f>'01 Sensory Input'!A34</x:f>
        <x:v>2</x:v>
      </x:c>
      <x:c r="B34" t="n">
        <x:f>'01 Sensory Input'!B34</x:f>
        <x:v>9</x:v>
      </x:c>
      <x:c r="C34" t="n">
        <x:f>IF(A34=A33,--(ABS('01 Sensory Input'!C34-'01 Sensory Input'!C33)&gt;=$B$3),0)</x:f>
        <x:v>0</x:v>
      </x:c>
      <x:c r="D34" t="n">
        <x:f>IF(A34=A33,--(ABS('01 Sensory Input'!D34-'01 Sensory Input'!D33)&gt;=$B$3),0)</x:f>
        <x:v>0</x:v>
      </x:c>
      <x:c r="E34" t="n">
        <x:f>IF(A34=A33,--(ABS('01 Sensory Input'!E34-'01 Sensory Input'!E33)&gt;=$B$3),0)</x:f>
        <x:v>0</x:v>
      </x:c>
      <x:c r="F34" t="n">
        <x:f>IF(A34=A33,--(ABS('01 Sensory Input'!F34-'01 Sensory Input'!F33)&gt;=$B$3),0)</x:f>
        <x:v>0</x:v>
      </x:c>
      <x:c r="G34" t="n">
        <x:f>IF(A34=A33,--(ABS('01 Sensory Input'!G34-'01 Sensory Input'!G33)&gt;=$B$3),0)</x:f>
        <x:v>0</x:v>
      </x:c>
      <x:c r="H34" t="n">
        <x:f>--(SUM(C34:G34)&gt;=2)</x:f>
        <x:v>0</x:v>
      </x:c>
    </x:row>
    <x:row r="35">
      <x:c r="A35" t="n">
        <x:f>'01 Sensory Input'!A35</x:f>
        <x:v>2</x:v>
      </x:c>
      <x:c r="B35" t="n">
        <x:f>'01 Sensory Input'!B35</x:f>
        <x:v>10</x:v>
      </x:c>
      <x:c r="C35" t="n">
        <x:f>IF(A35=A34,--(ABS('01 Sensory Input'!C35-'01 Sensory Input'!C34)&gt;=$B$3),0)</x:f>
        <x:v>0</x:v>
      </x:c>
      <x:c r="D35" t="n">
        <x:f>IF(A35=A34,--(ABS('01 Sensory Input'!D35-'01 Sensory Input'!D34)&gt;=$B$3),0)</x:f>
        <x:v>0</x:v>
      </x:c>
      <x:c r="E35" t="n">
        <x:f>IF(A35=A34,--(ABS('01 Sensory Input'!E35-'01 Sensory Input'!E34)&gt;=$B$3),0)</x:f>
        <x:v>0</x:v>
      </x:c>
      <x:c r="F35" t="n">
        <x:f>IF(A35=A34,--(ABS('01 Sensory Input'!F35-'01 Sensory Input'!F34)&gt;=$B$3),0)</x:f>
        <x:v>0</x:v>
      </x:c>
      <x:c r="G35" t="n">
        <x:f>IF(A35=A34,--(ABS('01 Sensory Input'!G35-'01 Sensory Input'!G34)&gt;=$B$3),0)</x:f>
        <x:v>0</x:v>
      </x:c>
      <x:c r="H35" t="n">
        <x:f>--(SUM(C35:G35)&gt;=2)</x:f>
        <x:v>0</x:v>
      </x:c>
    </x:row>
    <x:row r="36">
      <x:c r="A36" t="n">
        <x:f>'01 Sensory Input'!A36</x:f>
        <x:v>2</x:v>
      </x:c>
      <x:c r="B36" t="n">
        <x:f>'01 Sensory Input'!B36</x:f>
        <x:v>11</x:v>
      </x:c>
      <x:c r="C36" t="n">
        <x:f>IF(A36=A35,--(ABS('01 Sensory Input'!C36-'01 Sensory Input'!C35)&gt;=$B$3),0)</x:f>
        <x:v>0</x:v>
      </x:c>
      <x:c r="D36" t="n">
        <x:f>IF(A36=A35,--(ABS('01 Sensory Input'!D36-'01 Sensory Input'!D35)&gt;=$B$3),0)</x:f>
        <x:v>0</x:v>
      </x:c>
      <x:c r="E36" t="n">
        <x:f>IF(A36=A35,--(ABS('01 Sensory Input'!E36-'01 Sensory Input'!E35)&gt;=$B$3),0)</x:f>
        <x:v>0</x:v>
      </x:c>
      <x:c r="F36" t="n">
        <x:f>IF(A36=A35,--(ABS('01 Sensory Input'!F36-'01 Sensory Input'!F35)&gt;=$B$3),0)</x:f>
        <x:v>0</x:v>
      </x:c>
      <x:c r="G36" t="n">
        <x:f>IF(A36=A35,--(ABS('01 Sensory Input'!G36-'01 Sensory Input'!G35)&gt;=$B$3),0)</x:f>
        <x:v>0</x:v>
      </x:c>
      <x:c r="H36" t="n">
        <x:f>--(SUM(C36:G36)&gt;=2)</x:f>
        <x:v>0</x:v>
      </x:c>
    </x:row>
    <x:row r="37">
      <x:c r="A37" t="n">
        <x:f>'01 Sensory Input'!A37</x:f>
        <x:v>2</x:v>
      </x:c>
      <x:c r="B37" t="n">
        <x:f>'01 Sensory Input'!B37</x:f>
        <x:v>12</x:v>
      </x:c>
      <x:c r="C37" t="n">
        <x:f>IF(A37=A36,--(ABS('01 Sensory Input'!C37-'01 Sensory Input'!C36)&gt;=$B$3),0)</x:f>
        <x:v>0</x:v>
      </x:c>
      <x:c r="D37" t="n">
        <x:f>IF(A37=A36,--(ABS('01 Sensory Input'!D37-'01 Sensory Input'!D36)&gt;=$B$3),0)</x:f>
        <x:v>0</x:v>
      </x:c>
      <x:c r="E37" t="n">
        <x:f>IF(A37=A36,--(ABS('01 Sensory Input'!E37-'01 Sensory Input'!E36)&gt;=$B$3),0)</x:f>
        <x:v>0</x:v>
      </x:c>
      <x:c r="F37" t="n">
        <x:f>IF(A37=A36,--(ABS('01 Sensory Input'!F37-'01 Sensory Input'!F36)&gt;=$B$3),0)</x:f>
        <x:v>0</x:v>
      </x:c>
      <x:c r="G37" t="n">
        <x:f>IF(A37=A36,--(ABS('01 Sensory Input'!G37-'01 Sensory Input'!G36)&gt;=$B$3),0)</x:f>
        <x:v>0</x:v>
      </x:c>
      <x:c r="H37" t="n">
        <x:f>--(SUM(C37:G37)&gt;=2)</x:f>
        <x:v>0</x:v>
      </x:c>
    </x:row>
    <x:row r="38">
      <x:c r="A38" t="n">
        <x:f>'01 Sensory Input'!A38</x:f>
        <x:v>2</x:v>
      </x:c>
      <x:c r="B38" t="n">
        <x:f>'01 Sensory Input'!B38</x:f>
        <x:v>13</x:v>
      </x:c>
      <x:c r="C38" t="n">
        <x:f>IF(A38=A37,--(ABS('01 Sensory Input'!C38-'01 Sensory Input'!C37)&gt;=$B$3),0)</x:f>
        <x:v>0</x:v>
      </x:c>
      <x:c r="D38" t="n">
        <x:f>IF(A38=A37,--(ABS('01 Sensory Input'!D38-'01 Sensory Input'!D37)&gt;=$B$3),0)</x:f>
        <x:v>0</x:v>
      </x:c>
      <x:c r="E38" t="n">
        <x:f>IF(A38=A37,--(ABS('01 Sensory Input'!E38-'01 Sensory Input'!E37)&gt;=$B$3),0)</x:f>
        <x:v>0</x:v>
      </x:c>
      <x:c r="F38" t="n">
        <x:f>IF(A38=A37,--(ABS('01 Sensory Input'!F38-'01 Sensory Input'!F37)&gt;=$B$3),0)</x:f>
        <x:v>0</x:v>
      </x:c>
      <x:c r="G38" t="n">
        <x:f>IF(A38=A37,--(ABS('01 Sensory Input'!G38-'01 Sensory Input'!G37)&gt;=$B$3),0)</x:f>
        <x:v>0</x:v>
      </x:c>
      <x:c r="H38" t="n">
        <x:f>--(SUM(C38:G38)&gt;=2)</x:f>
        <x:v>0</x:v>
      </x:c>
    </x:row>
    <x:row r="39">
      <x:c r="A39" t="n">
        <x:f>'01 Sensory Input'!A39</x:f>
        <x:v>2</x:v>
      </x:c>
      <x:c r="B39" t="n">
        <x:f>'01 Sensory Input'!B39</x:f>
        <x:v>14</x:v>
      </x:c>
      <x:c r="C39" t="n">
        <x:f>IF(A39=A38,--(ABS('01 Sensory Input'!C39-'01 Sensory Input'!C38)&gt;=$B$3),0)</x:f>
        <x:v>0</x:v>
      </x:c>
      <x:c r="D39" t="n">
        <x:f>IF(A39=A38,--(ABS('01 Sensory Input'!D39-'01 Sensory Input'!D38)&gt;=$B$3),0)</x:f>
        <x:v>0</x:v>
      </x:c>
      <x:c r="E39" t="n">
        <x:f>IF(A39=A38,--(ABS('01 Sensory Input'!E39-'01 Sensory Input'!E38)&gt;=$B$3),0)</x:f>
        <x:v>0</x:v>
      </x:c>
      <x:c r="F39" t="n">
        <x:f>IF(A39=A38,--(ABS('01 Sensory Input'!F39-'01 Sensory Input'!F38)&gt;=$B$3),0)</x:f>
        <x:v>0</x:v>
      </x:c>
      <x:c r="G39" t="n">
        <x:f>IF(A39=A38,--(ABS('01 Sensory Input'!G39-'01 Sensory Input'!G38)&gt;=$B$3),0)</x:f>
        <x:v>0</x:v>
      </x:c>
      <x:c r="H39" t="n">
        <x:f>--(SUM(C39:G39)&gt;=2)</x:f>
        <x:v>0</x:v>
      </x:c>
    </x:row>
    <x:row r="40">
      <x:c r="A40" t="n">
        <x:f>'01 Sensory Input'!A40</x:f>
        <x:v>2</x:v>
      </x:c>
      <x:c r="B40" t="n">
        <x:f>'01 Sensory Input'!B40</x:f>
        <x:v>15</x:v>
      </x:c>
      <x:c r="C40" t="n">
        <x:f>IF(A40=A39,--(ABS('01 Sensory Input'!C40-'01 Sensory Input'!C39)&gt;=$B$3),0)</x:f>
        <x:v>0</x:v>
      </x:c>
      <x:c r="D40" t="n">
        <x:f>IF(A40=A39,--(ABS('01 Sensory Input'!D40-'01 Sensory Input'!D39)&gt;=$B$3),0)</x:f>
        <x:v>0</x:v>
      </x:c>
      <x:c r="E40" t="n">
        <x:f>IF(A40=A39,--(ABS('01 Sensory Input'!E40-'01 Sensory Input'!E39)&gt;=$B$3),0)</x:f>
        <x:v>0</x:v>
      </x:c>
      <x:c r="F40" t="n">
        <x:f>IF(A40=A39,--(ABS('01 Sensory Input'!F40-'01 Sensory Input'!F39)&gt;=$B$3),0)</x:f>
        <x:v>0</x:v>
      </x:c>
      <x:c r="G40" t="n">
        <x:f>IF(A40=A39,--(ABS('01 Sensory Input'!G40-'01 Sensory Input'!G39)&gt;=$B$3),0)</x:f>
        <x:v>0</x:v>
      </x:c>
      <x:c r="H40" t="n">
        <x:f>--(SUM(C40:G40)&gt;=2)</x:f>
        <x:v>0</x:v>
      </x:c>
    </x:row>
    <x:row r="41">
      <x:c r="A41" t="n">
        <x:f>'01 Sensory Input'!A41</x:f>
        <x:v>2</x:v>
      </x:c>
      <x:c r="B41" t="n">
        <x:f>'01 Sensory Input'!B41</x:f>
        <x:v>16</x:v>
      </x:c>
      <x:c r="C41" t="n">
        <x:f>IF(A41=A40,--(ABS('01 Sensory Input'!C41-'01 Sensory Input'!C40)&gt;=$B$3),0)</x:f>
        <x:v>0</x:v>
      </x:c>
      <x:c r="D41" t="n">
        <x:f>IF(A41=A40,--(ABS('01 Sensory Input'!D41-'01 Sensory Input'!D40)&gt;=$B$3),0)</x:f>
        <x:v>0</x:v>
      </x:c>
      <x:c r="E41" t="n">
        <x:f>IF(A41=A40,--(ABS('01 Sensory Input'!E41-'01 Sensory Input'!E40)&gt;=$B$3),0)</x:f>
        <x:v>0</x:v>
      </x:c>
      <x:c r="F41" t="n">
        <x:f>IF(A41=A40,--(ABS('01 Sensory Input'!F41-'01 Sensory Input'!F40)&gt;=$B$3),0)</x:f>
        <x:v>0</x:v>
      </x:c>
      <x:c r="G41" t="n">
        <x:f>IF(A41=A40,--(ABS('01 Sensory Input'!G41-'01 Sensory Input'!G40)&gt;=$B$3),0)</x:f>
        <x:v>0</x:v>
      </x:c>
      <x:c r="H41" t="n">
        <x:f>--(SUM(C41:G41)&gt;=2)</x:f>
        <x:v>0</x:v>
      </x:c>
    </x:row>
    <x:row r="42">
      <x:c r="A42" t="n">
        <x:f>'01 Sensory Input'!A42</x:f>
        <x:v>2</x:v>
      </x:c>
      <x:c r="B42" t="n">
        <x:f>'01 Sensory Input'!B42</x:f>
        <x:v>17</x:v>
      </x:c>
      <x:c r="C42" t="n">
        <x:f>IF(A42=A41,--(ABS('01 Sensory Input'!C42-'01 Sensory Input'!C41)&gt;=$B$3),0)</x:f>
        <x:v>0</x:v>
      </x:c>
      <x:c r="D42" t="n">
        <x:f>IF(A42=A41,--(ABS('01 Sensory Input'!D42-'01 Sensory Input'!D41)&gt;=$B$3),0)</x:f>
        <x:v>0</x:v>
      </x:c>
      <x:c r="E42" t="n">
        <x:f>IF(A42=A41,--(ABS('01 Sensory Input'!E42-'01 Sensory Input'!E41)&gt;=$B$3),0)</x:f>
        <x:v>0</x:v>
      </x:c>
      <x:c r="F42" t="n">
        <x:f>IF(A42=A41,--(ABS('01 Sensory Input'!F42-'01 Sensory Input'!F41)&gt;=$B$3),0)</x:f>
        <x:v>0</x:v>
      </x:c>
      <x:c r="G42" t="n">
        <x:f>IF(A42=A41,--(ABS('01 Sensory Input'!G42-'01 Sensory Input'!G41)&gt;=$B$3),0)</x:f>
        <x:v>0</x:v>
      </x:c>
      <x:c r="H42" t="n">
        <x:f>--(SUM(C42:G42)&gt;=2)</x:f>
        <x:v>0</x:v>
      </x:c>
    </x:row>
    <x:row r="43">
      <x:c r="A43" t="n">
        <x:f>'01 Sensory Input'!A43</x:f>
        <x:v>2</x:v>
      </x:c>
      <x:c r="B43" t="n">
        <x:f>'01 Sensory Input'!B43</x:f>
        <x:v>18</x:v>
      </x:c>
      <x:c r="C43" t="n">
        <x:f>IF(A43=A42,--(ABS('01 Sensory Input'!C43-'01 Sensory Input'!C42)&gt;=$B$3),0)</x:f>
        <x:v>0</x:v>
      </x:c>
      <x:c r="D43" t="n">
        <x:f>IF(A43=A42,--(ABS('01 Sensory Input'!D43-'01 Sensory Input'!D42)&gt;=$B$3),0)</x:f>
        <x:v>0</x:v>
      </x:c>
      <x:c r="E43" t="n">
        <x:f>IF(A43=A42,--(ABS('01 Sensory Input'!E43-'01 Sensory Input'!E42)&gt;=$B$3),0)</x:f>
        <x:v>0</x:v>
      </x:c>
      <x:c r="F43" t="n">
        <x:f>IF(A43=A42,--(ABS('01 Sensory Input'!F43-'01 Sensory Input'!F42)&gt;=$B$3),0)</x:f>
        <x:v>0</x:v>
      </x:c>
      <x:c r="G43" t="n">
        <x:f>IF(A43=A42,--(ABS('01 Sensory Input'!G43-'01 Sensory Input'!G42)&gt;=$B$3),0)</x:f>
        <x:v>0</x:v>
      </x:c>
      <x:c r="H43" t="n">
        <x:f>--(SUM(C43:G43)&gt;=2)</x:f>
        <x:v>0</x:v>
      </x:c>
    </x:row>
    <x:row r="44">
      <x:c r="A44" t="n">
        <x:f>'01 Sensory Input'!A44</x:f>
        <x:v>2</x:v>
      </x:c>
      <x:c r="B44" t="n">
        <x:f>'01 Sensory Input'!B44</x:f>
        <x:v>19</x:v>
      </x:c>
      <x:c r="C44" t="n">
        <x:f>IF(A44=A43,--(ABS('01 Sensory Input'!C44-'01 Sensory Input'!C43)&gt;=$B$3),0)</x:f>
        <x:v>0</x:v>
      </x:c>
      <x:c r="D44" t="n">
        <x:f>IF(A44=A43,--(ABS('01 Sensory Input'!D44-'01 Sensory Input'!D43)&gt;=$B$3),0)</x:f>
        <x:v>0</x:v>
      </x:c>
      <x:c r="E44" t="n">
        <x:f>IF(A44=A43,--(ABS('01 Sensory Input'!E44-'01 Sensory Input'!E43)&gt;=$B$3),0)</x:f>
        <x:v>0</x:v>
      </x:c>
      <x:c r="F44" t="n">
        <x:f>IF(A44=A43,--(ABS('01 Sensory Input'!F44-'01 Sensory Input'!F43)&gt;=$B$3),0)</x:f>
        <x:v>0</x:v>
      </x:c>
      <x:c r="G44" t="n">
        <x:f>IF(A44=A43,--(ABS('01 Sensory Input'!G44-'01 Sensory Input'!G43)&gt;=$B$3),0)</x:f>
        <x:v>0</x:v>
      </x:c>
      <x:c r="H44" t="n">
        <x:f>--(SUM(C44:G44)&gt;=2)</x:f>
        <x:v>0</x:v>
      </x:c>
    </x:row>
    <x:row r="45">
      <x:c r="A45" t="n">
        <x:f>'01 Sensory Input'!A45</x:f>
        <x:v>2</x:v>
      </x:c>
      <x:c r="B45" t="n">
        <x:f>'01 Sensory Input'!B45</x:f>
        <x:v>20</x:v>
      </x:c>
      <x:c r="C45" t="n">
        <x:f>IF(A45=A44,--(ABS('01 Sensory Input'!C45-'01 Sensory Input'!C44)&gt;=$B$3),0)</x:f>
        <x:v>0</x:v>
      </x:c>
      <x:c r="D45" t="n">
        <x:f>IF(A45=A44,--(ABS('01 Sensory Input'!D45-'01 Sensory Input'!D44)&gt;=$B$3),0)</x:f>
        <x:v>0</x:v>
      </x:c>
      <x:c r="E45" t="n">
        <x:f>IF(A45=A44,--(ABS('01 Sensory Input'!E45-'01 Sensory Input'!E44)&gt;=$B$3),0)</x:f>
        <x:v>0</x:v>
      </x:c>
      <x:c r="F45" t="n">
        <x:f>IF(A45=A44,--(ABS('01 Sensory Input'!F45-'01 Sensory Input'!F44)&gt;=$B$3),0)</x:f>
        <x:v>0</x:v>
      </x:c>
      <x:c r="G45" t="n">
        <x:f>IF(A45=A44,--(ABS('01 Sensory Input'!G45-'01 Sensory Input'!G44)&gt;=$B$3),0)</x:f>
        <x:v>0</x:v>
      </x:c>
      <x:c r="H45" t="n">
        <x:f>--(SUM(C45:G45)&gt;=2)</x:f>
        <x:v>0</x:v>
      </x:c>
    </x:row>
    <x:row r="46">
      <x:c r="A46" t="n">
        <x:f>'01 Sensory Input'!A46</x:f>
        <x:v>3</x:v>
      </x:c>
      <x:c r="B46" t="n">
        <x:f>'01 Sensory Input'!B46</x:f>
        <x:v>1</x:v>
      </x:c>
      <x:c r="C46" t="n">
        <x:f>IF(A46=A45,--(ABS('01 Sensory Input'!C46-'01 Sensory Input'!C45)&gt;=$B$3),0)</x:f>
        <x:v>0</x:v>
      </x:c>
      <x:c r="D46" t="n">
        <x:f>IF(A46=A45,--(ABS('01 Sensory Input'!D46-'01 Sensory Input'!D45)&gt;=$B$3),0)</x:f>
        <x:v>0</x:v>
      </x:c>
      <x:c r="E46" t="n">
        <x:f>IF(A46=A45,--(ABS('01 Sensory Input'!E46-'01 Sensory Input'!E45)&gt;=$B$3),0)</x:f>
        <x:v>0</x:v>
      </x:c>
      <x:c r="F46" t="n">
        <x:f>IF(A46=A45,--(ABS('01 Sensory Input'!F46-'01 Sensory Input'!F45)&gt;=$B$3),0)</x:f>
        <x:v>0</x:v>
      </x:c>
      <x:c r="G46" t="n">
        <x:f>IF(A46=A45,--(ABS('01 Sensory Input'!G46-'01 Sensory Input'!G45)&gt;=$B$3),0)</x:f>
        <x:v>0</x:v>
      </x:c>
      <x:c r="H46" t="n">
        <x:f>--(SUM(C46:G46)&gt;=2)</x:f>
        <x:v>0</x:v>
      </x:c>
    </x:row>
    <x:row r="47">
      <x:c r="A47" t="n">
        <x:f>'01 Sensory Input'!A47</x:f>
        <x:v>3</x:v>
      </x:c>
      <x:c r="B47" t="n">
        <x:f>'01 Sensory Input'!B47</x:f>
        <x:v>2</x:v>
      </x:c>
      <x:c r="C47" t="n">
        <x:f>IF(A47=A46,--(ABS('01 Sensory Input'!C47-'01 Sensory Input'!C46)&gt;=$B$3),0)</x:f>
        <x:v>0</x:v>
      </x:c>
      <x:c r="D47" t="n">
        <x:f>IF(A47=A46,--(ABS('01 Sensory Input'!D47-'01 Sensory Input'!D46)&gt;=$B$3),0)</x:f>
        <x:v>0</x:v>
      </x:c>
      <x:c r="E47" t="n">
        <x:f>IF(A47=A46,--(ABS('01 Sensory Input'!E47-'01 Sensory Input'!E46)&gt;=$B$3),0)</x:f>
        <x:v>0</x:v>
      </x:c>
      <x:c r="F47" t="n">
        <x:f>IF(A47=A46,--(ABS('01 Sensory Input'!F47-'01 Sensory Input'!F46)&gt;=$B$3),0)</x:f>
        <x:v>0</x:v>
      </x:c>
      <x:c r="G47" t="n">
        <x:f>IF(A47=A46,--(ABS('01 Sensory Input'!G47-'01 Sensory Input'!G46)&gt;=$B$3),0)</x:f>
        <x:v>0</x:v>
      </x:c>
      <x:c r="H47" t="n">
        <x:f>--(SUM(C47:G47)&gt;=2)</x:f>
        <x:v>0</x:v>
      </x:c>
    </x:row>
    <x:row r="48">
      <x:c r="A48" t="n">
        <x:f>'01 Sensory Input'!A48</x:f>
        <x:v>3</x:v>
      </x:c>
      <x:c r="B48" t="n">
        <x:f>'01 Sensory Input'!B48</x:f>
        <x:v>3</x:v>
      </x:c>
      <x:c r="C48" t="n">
        <x:f>IF(A48=A47,--(ABS('01 Sensory Input'!C48-'01 Sensory Input'!C47)&gt;=$B$3),0)</x:f>
        <x:v>0</x:v>
      </x:c>
      <x:c r="D48" t="n">
        <x:f>IF(A48=A47,--(ABS('01 Sensory Input'!D48-'01 Sensory Input'!D47)&gt;=$B$3),0)</x:f>
        <x:v>0</x:v>
      </x:c>
      <x:c r="E48" t="n">
        <x:f>IF(A48=A47,--(ABS('01 Sensory Input'!E48-'01 Sensory Input'!E47)&gt;=$B$3),0)</x:f>
        <x:v>0</x:v>
      </x:c>
      <x:c r="F48" t="n">
        <x:f>IF(A48=A47,--(ABS('01 Sensory Input'!F48-'01 Sensory Input'!F47)&gt;=$B$3),0)</x:f>
        <x:v>0</x:v>
      </x:c>
      <x:c r="G48" t="n">
        <x:f>IF(A48=A47,--(ABS('01 Sensory Input'!G48-'01 Sensory Input'!G47)&gt;=$B$3),0)</x:f>
        <x:v>0</x:v>
      </x:c>
      <x:c r="H48" t="n">
        <x:f>--(SUM(C48:G48)&gt;=2)</x:f>
        <x:v>0</x:v>
      </x:c>
    </x:row>
    <x:row r="49">
      <x:c r="A49" t="n">
        <x:f>'01 Sensory Input'!A49</x:f>
        <x:v>3</x:v>
      </x:c>
      <x:c r="B49" t="n">
        <x:f>'01 Sensory Input'!B49</x:f>
        <x:v>4</x:v>
      </x:c>
      <x:c r="C49" t="n">
        <x:f>IF(A49=A48,--(ABS('01 Sensory Input'!C49-'01 Sensory Input'!C48)&gt;=$B$3),0)</x:f>
        <x:v>0</x:v>
      </x:c>
      <x:c r="D49" t="n">
        <x:f>IF(A49=A48,--(ABS('01 Sensory Input'!D49-'01 Sensory Input'!D48)&gt;=$B$3),0)</x:f>
        <x:v>0</x:v>
      </x:c>
      <x:c r="E49" t="n">
        <x:f>IF(A49=A48,--(ABS('01 Sensory Input'!E49-'01 Sensory Input'!E48)&gt;=$B$3),0)</x:f>
        <x:v>0</x:v>
      </x:c>
      <x:c r="F49" t="n">
        <x:f>IF(A49=A48,--(ABS('01 Sensory Input'!F49-'01 Sensory Input'!F48)&gt;=$B$3),0)</x:f>
        <x:v>0</x:v>
      </x:c>
      <x:c r="G49" t="n">
        <x:f>IF(A49=A48,--(ABS('01 Sensory Input'!G49-'01 Sensory Input'!G48)&gt;=$B$3),0)</x:f>
        <x:v>0</x:v>
      </x:c>
      <x:c r="H49" t="n">
        <x:f>--(SUM(C49:G49)&gt;=2)</x:f>
        <x:v>0</x:v>
      </x:c>
    </x:row>
    <x:row r="50">
      <x:c r="A50" t="n">
        <x:f>'01 Sensory Input'!A50</x:f>
        <x:v>3</x:v>
      </x:c>
      <x:c r="B50" t="n">
        <x:f>'01 Sensory Input'!B50</x:f>
        <x:v>5</x:v>
      </x:c>
      <x:c r="C50" t="n">
        <x:f>IF(A50=A49,--(ABS('01 Sensory Input'!C50-'01 Sensory Input'!C49)&gt;=$B$3),0)</x:f>
        <x:v>0</x:v>
      </x:c>
      <x:c r="D50" t="n">
        <x:f>IF(A50=A49,--(ABS('01 Sensory Input'!D50-'01 Sensory Input'!D49)&gt;=$B$3),0)</x:f>
        <x:v>0</x:v>
      </x:c>
      <x:c r="E50" t="n">
        <x:f>IF(A50=A49,--(ABS('01 Sensory Input'!E50-'01 Sensory Input'!E49)&gt;=$B$3),0)</x:f>
        <x:v>0</x:v>
      </x:c>
      <x:c r="F50" t="n">
        <x:f>IF(A50=A49,--(ABS('01 Sensory Input'!F50-'01 Sensory Input'!F49)&gt;=$B$3),0)</x:f>
        <x:v>0</x:v>
      </x:c>
      <x:c r="G50" t="n">
        <x:f>IF(A50=A49,--(ABS('01 Sensory Input'!G50-'01 Sensory Input'!G49)&gt;=$B$3),0)</x:f>
        <x:v>0</x:v>
      </x:c>
      <x:c r="H50" t="n">
        <x:f>--(SUM(C50:G50)&gt;=2)</x:f>
        <x:v>0</x:v>
      </x:c>
    </x:row>
    <x:row r="51">
      <x:c r="A51" t="n">
        <x:f>'01 Sensory Input'!A51</x:f>
        <x:v>3</x:v>
      </x:c>
      <x:c r="B51" t="n">
        <x:f>'01 Sensory Input'!B51</x:f>
        <x:v>6</x:v>
      </x:c>
      <x:c r="C51" t="n">
        <x:f>IF(A51=A50,--(ABS('01 Sensory Input'!C51-'01 Sensory Input'!C50)&gt;=$B$3),0)</x:f>
        <x:v>0</x:v>
      </x:c>
      <x:c r="D51" t="n">
        <x:f>IF(A51=A50,--(ABS('01 Sensory Input'!D51-'01 Sensory Input'!D50)&gt;=$B$3),0)</x:f>
        <x:v>0</x:v>
      </x:c>
      <x:c r="E51" t="n">
        <x:f>IF(A51=A50,--(ABS('01 Sensory Input'!E51-'01 Sensory Input'!E50)&gt;=$B$3),0)</x:f>
        <x:v>0</x:v>
      </x:c>
      <x:c r="F51" t="n">
        <x:f>IF(A51=A50,--(ABS('01 Sensory Input'!F51-'01 Sensory Input'!F50)&gt;=$B$3),0)</x:f>
        <x:v>0</x:v>
      </x:c>
      <x:c r="G51" t="n">
        <x:f>IF(A51=A50,--(ABS('01 Sensory Input'!G51-'01 Sensory Input'!G50)&gt;=$B$3),0)</x:f>
        <x:v>0</x:v>
      </x:c>
      <x:c r="H51" t="n">
        <x:f>--(SUM(C51:G51)&gt;=2)</x:f>
        <x:v>0</x:v>
      </x:c>
    </x:row>
    <x:row r="52">
      <x:c r="A52" t="n">
        <x:f>'01 Sensory Input'!A52</x:f>
        <x:v>3</x:v>
      </x:c>
      <x:c r="B52" t="n">
        <x:f>'01 Sensory Input'!B52</x:f>
        <x:v>7</x:v>
      </x:c>
      <x:c r="C52" t="n">
        <x:f>IF(A52=A51,--(ABS('01 Sensory Input'!C52-'01 Sensory Input'!C51)&gt;=$B$3),0)</x:f>
        <x:v>0</x:v>
      </x:c>
      <x:c r="D52" t="n">
        <x:f>IF(A52=A51,--(ABS('01 Sensory Input'!D52-'01 Sensory Input'!D51)&gt;=$B$3),0)</x:f>
        <x:v>0</x:v>
      </x:c>
      <x:c r="E52" t="n">
        <x:f>IF(A52=A51,--(ABS('01 Sensory Input'!E52-'01 Sensory Input'!E51)&gt;=$B$3),0)</x:f>
        <x:v>0</x:v>
      </x:c>
      <x:c r="F52" t="n">
        <x:f>IF(A52=A51,--(ABS('01 Sensory Input'!F52-'01 Sensory Input'!F51)&gt;=$B$3),0)</x:f>
        <x:v>0</x:v>
      </x:c>
      <x:c r="G52" t="n">
        <x:f>IF(A52=A51,--(ABS('01 Sensory Input'!G52-'01 Sensory Input'!G51)&gt;=$B$3),0)</x:f>
        <x:v>0</x:v>
      </x:c>
      <x:c r="H52" t="n">
        <x:f>--(SUM(C52:G52)&gt;=2)</x:f>
        <x:v>0</x:v>
      </x:c>
    </x:row>
    <x:row r="53">
      <x:c r="A53" t="n">
        <x:f>'01 Sensory Input'!A53</x:f>
        <x:v>3</x:v>
      </x:c>
      <x:c r="B53" t="n">
        <x:f>'01 Sensory Input'!B53</x:f>
        <x:v>8</x:v>
      </x:c>
      <x:c r="C53" t="n">
        <x:f>IF(A53=A52,--(ABS('01 Sensory Input'!C53-'01 Sensory Input'!C52)&gt;=$B$3),0)</x:f>
        <x:v>1</x:v>
      </x:c>
      <x:c r="D53" t="n">
        <x:f>IF(A53=A52,--(ABS('01 Sensory Input'!D53-'01 Sensory Input'!D52)&gt;=$B$3),0)</x:f>
        <x:v>0</x:v>
      </x:c>
      <x:c r="E53" t="n">
        <x:f>IF(A53=A52,--(ABS('01 Sensory Input'!E53-'01 Sensory Input'!E52)&gt;=$B$3),0)</x:f>
        <x:v>0</x:v>
      </x:c>
      <x:c r="F53" t="n">
        <x:f>IF(A53=A52,--(ABS('01 Sensory Input'!F53-'01 Sensory Input'!F52)&gt;=$B$3),0)</x:f>
        <x:v>0</x:v>
      </x:c>
      <x:c r="G53" t="n">
        <x:f>IF(A53=A52,--(ABS('01 Sensory Input'!G53-'01 Sensory Input'!G52)&gt;=$B$3),0)</x:f>
        <x:v>0</x:v>
      </x:c>
      <x:c r="H53" t="n">
        <x:f>--(SUM(C53:G53)&gt;=2)</x:f>
        <x:v>0</x:v>
      </x:c>
    </x:row>
    <x:row r="54">
      <x:c r="A54" t="n">
        <x:f>'01 Sensory Input'!A54</x:f>
        <x:v>3</x:v>
      </x:c>
      <x:c r="B54" t="n">
        <x:f>'01 Sensory Input'!B54</x:f>
        <x:v>9</x:v>
      </x:c>
      <x:c r="C54" t="n">
        <x:f>IF(A54=A53,--(ABS('01 Sensory Input'!C54-'01 Sensory Input'!C53)&gt;=$B$3),0)</x:f>
        <x:v>1</x:v>
      </x:c>
      <x:c r="D54" t="n">
        <x:f>IF(A54=A53,--(ABS('01 Sensory Input'!D54-'01 Sensory Input'!D53)&gt;=$B$3),0)</x:f>
        <x:v>0</x:v>
      </x:c>
      <x:c r="E54" t="n">
        <x:f>IF(A54=A53,--(ABS('01 Sensory Input'!E54-'01 Sensory Input'!E53)&gt;=$B$3),0)</x:f>
        <x:v>0</x:v>
      </x:c>
      <x:c r="F54" t="n">
        <x:f>IF(A54=A53,--(ABS('01 Sensory Input'!F54-'01 Sensory Input'!F53)&gt;=$B$3),0)</x:f>
        <x:v>0</x:v>
      </x:c>
      <x:c r="G54" t="n">
        <x:f>IF(A54=A53,--(ABS('01 Sensory Input'!G54-'01 Sensory Input'!G53)&gt;=$B$3),0)</x:f>
        <x:v>0</x:v>
      </x:c>
      <x:c r="H54" t="n">
        <x:f>--(SUM(C54:G54)&gt;=2)</x:f>
        <x:v>0</x:v>
      </x:c>
    </x:row>
    <x:row r="55">
      <x:c r="A55" t="n">
        <x:f>'01 Sensory Input'!A55</x:f>
        <x:v>3</x:v>
      </x:c>
      <x:c r="B55" t="n">
        <x:f>'01 Sensory Input'!B55</x:f>
        <x:v>10</x:v>
      </x:c>
      <x:c r="C55" t="n">
        <x:f>IF(A55=A54,--(ABS('01 Sensory Input'!C55-'01 Sensory Input'!C54)&gt;=$B$3),0)</x:f>
        <x:v>0</x:v>
      </x:c>
      <x:c r="D55" t="n">
        <x:f>IF(A55=A54,--(ABS('01 Sensory Input'!D55-'01 Sensory Input'!D54)&gt;=$B$3),0)</x:f>
        <x:v>0</x:v>
      </x:c>
      <x:c r="E55" t="n">
        <x:f>IF(A55=A54,--(ABS('01 Sensory Input'!E55-'01 Sensory Input'!E54)&gt;=$B$3),0)</x:f>
        <x:v>0</x:v>
      </x:c>
      <x:c r="F55" t="n">
        <x:f>IF(A55=A54,--(ABS('01 Sensory Input'!F55-'01 Sensory Input'!F54)&gt;=$B$3),0)</x:f>
        <x:v>0</x:v>
      </x:c>
      <x:c r="G55" t="n">
        <x:f>IF(A55=A54,--(ABS('01 Sensory Input'!G55-'01 Sensory Input'!G54)&gt;=$B$3),0)</x:f>
        <x:v>0</x:v>
      </x:c>
      <x:c r="H55" t="n">
        <x:f>--(SUM(C55:G55)&gt;=2)</x:f>
        <x:v>0</x:v>
      </x:c>
    </x:row>
    <x:row r="56">
      <x:c r="A56" t="n">
        <x:f>'01 Sensory Input'!A56</x:f>
        <x:v>3</x:v>
      </x:c>
      <x:c r="B56" t="n">
        <x:f>'01 Sensory Input'!B56</x:f>
        <x:v>11</x:v>
      </x:c>
      <x:c r="C56" t="n">
        <x:f>IF(A56=A55,--(ABS('01 Sensory Input'!C56-'01 Sensory Input'!C55)&gt;=$B$3),0)</x:f>
        <x:v>0</x:v>
      </x:c>
      <x:c r="D56" t="n">
        <x:f>IF(A56=A55,--(ABS('01 Sensory Input'!D56-'01 Sensory Input'!D55)&gt;=$B$3),0)</x:f>
        <x:v>0</x:v>
      </x:c>
      <x:c r="E56" t="n">
        <x:f>IF(A56=A55,--(ABS('01 Sensory Input'!E56-'01 Sensory Input'!E55)&gt;=$B$3),0)</x:f>
        <x:v>0</x:v>
      </x:c>
      <x:c r="F56" t="n">
        <x:f>IF(A56=A55,--(ABS('01 Sensory Input'!F56-'01 Sensory Input'!F55)&gt;=$B$3),0)</x:f>
        <x:v>0</x:v>
      </x:c>
      <x:c r="G56" t="n">
        <x:f>IF(A56=A55,--(ABS('01 Sensory Input'!G56-'01 Sensory Input'!G55)&gt;=$B$3),0)</x:f>
        <x:v>0</x:v>
      </x:c>
      <x:c r="H56" t="n">
        <x:f>--(SUM(C56:G56)&gt;=2)</x:f>
        <x:v>0</x:v>
      </x:c>
    </x:row>
    <x:row r="57">
      <x:c r="A57" t="n">
        <x:f>'01 Sensory Input'!A57</x:f>
        <x:v>3</x:v>
      </x:c>
      <x:c r="B57" t="n">
        <x:f>'01 Sensory Input'!B57</x:f>
        <x:v>12</x:v>
      </x:c>
      <x:c r="C57" t="n">
        <x:f>IF(A57=A56,--(ABS('01 Sensory Input'!C57-'01 Sensory Input'!C56)&gt;=$B$3),0)</x:f>
        <x:v>0</x:v>
      </x:c>
      <x:c r="D57" t="n">
        <x:f>IF(A57=A56,--(ABS('01 Sensory Input'!D57-'01 Sensory Input'!D56)&gt;=$B$3),0)</x:f>
        <x:v>0</x:v>
      </x:c>
      <x:c r="E57" t="n">
        <x:f>IF(A57=A56,--(ABS('01 Sensory Input'!E57-'01 Sensory Input'!E56)&gt;=$B$3),0)</x:f>
        <x:v>0</x:v>
      </x:c>
      <x:c r="F57" t="n">
        <x:f>IF(A57=A56,--(ABS('01 Sensory Input'!F57-'01 Sensory Input'!F56)&gt;=$B$3),0)</x:f>
        <x:v>0</x:v>
      </x:c>
      <x:c r="G57" t="n">
        <x:f>IF(A57=A56,--(ABS('01 Sensory Input'!G57-'01 Sensory Input'!G56)&gt;=$B$3),0)</x:f>
        <x:v>0</x:v>
      </x:c>
      <x:c r="H57" t="n">
        <x:f>--(SUM(C57:G57)&gt;=2)</x:f>
        <x:v>0</x:v>
      </x:c>
    </x:row>
    <x:row r="58">
      <x:c r="A58" t="n">
        <x:f>'01 Sensory Input'!A58</x:f>
        <x:v>3</x:v>
      </x:c>
      <x:c r="B58" t="n">
        <x:f>'01 Sensory Input'!B58</x:f>
        <x:v>13</x:v>
      </x:c>
      <x:c r="C58" t="n">
        <x:f>IF(A58=A57,--(ABS('01 Sensory Input'!C58-'01 Sensory Input'!C57)&gt;=$B$3),0)</x:f>
        <x:v>0</x:v>
      </x:c>
      <x:c r="D58" t="n">
        <x:f>IF(A58=A57,--(ABS('01 Sensory Input'!D58-'01 Sensory Input'!D57)&gt;=$B$3),0)</x:f>
        <x:v>0</x:v>
      </x:c>
      <x:c r="E58" t="n">
        <x:f>IF(A58=A57,--(ABS('01 Sensory Input'!E58-'01 Sensory Input'!E57)&gt;=$B$3),0)</x:f>
        <x:v>0</x:v>
      </x:c>
      <x:c r="F58" t="n">
        <x:f>IF(A58=A57,--(ABS('01 Sensory Input'!F58-'01 Sensory Input'!F57)&gt;=$B$3),0)</x:f>
        <x:v>0</x:v>
      </x:c>
      <x:c r="G58" t="n">
        <x:f>IF(A58=A57,--(ABS('01 Sensory Input'!G58-'01 Sensory Input'!G57)&gt;=$B$3),0)</x:f>
        <x:v>0</x:v>
      </x:c>
      <x:c r="H58" t="n">
        <x:f>--(SUM(C58:G58)&gt;=2)</x:f>
        <x:v>0</x:v>
      </x:c>
    </x:row>
    <x:row r="59">
      <x:c r="A59" t="n">
        <x:f>'01 Sensory Input'!A59</x:f>
        <x:v>3</x:v>
      </x:c>
      <x:c r="B59" t="n">
        <x:f>'01 Sensory Input'!B59</x:f>
        <x:v>14</x:v>
      </x:c>
      <x:c r="C59" t="n">
        <x:f>IF(A59=A58,--(ABS('01 Sensory Input'!C59-'01 Sensory Input'!C58)&gt;=$B$3),0)</x:f>
        <x:v>0</x:v>
      </x:c>
      <x:c r="D59" t="n">
        <x:f>IF(A59=A58,--(ABS('01 Sensory Input'!D59-'01 Sensory Input'!D58)&gt;=$B$3),0)</x:f>
        <x:v>0</x:v>
      </x:c>
      <x:c r="E59" t="n">
        <x:f>IF(A59=A58,--(ABS('01 Sensory Input'!E59-'01 Sensory Input'!E58)&gt;=$B$3),0)</x:f>
        <x:v>0</x:v>
      </x:c>
      <x:c r="F59" t="n">
        <x:f>IF(A59=A58,--(ABS('01 Sensory Input'!F59-'01 Sensory Input'!F58)&gt;=$B$3),0)</x:f>
        <x:v>0</x:v>
      </x:c>
      <x:c r="G59" t="n">
        <x:f>IF(A59=A58,--(ABS('01 Sensory Input'!G59-'01 Sensory Input'!G58)&gt;=$B$3),0)</x:f>
        <x:v>0</x:v>
      </x:c>
      <x:c r="H59" t="n">
        <x:f>--(SUM(C59:G59)&gt;=2)</x:f>
        <x:v>0</x:v>
      </x:c>
    </x:row>
    <x:row r="60">
      <x:c r="A60" t="n">
        <x:f>'01 Sensory Input'!A60</x:f>
        <x:v>3</x:v>
      </x:c>
      <x:c r="B60" t="n">
        <x:f>'01 Sensory Input'!B60</x:f>
        <x:v>15</x:v>
      </x:c>
      <x:c r="C60" t="n">
        <x:f>IF(A60=A59,--(ABS('01 Sensory Input'!C60-'01 Sensory Input'!C59)&gt;=$B$3),0)</x:f>
        <x:v>0</x:v>
      </x:c>
      <x:c r="D60" t="n">
        <x:f>IF(A60=A59,--(ABS('01 Sensory Input'!D60-'01 Sensory Input'!D59)&gt;=$B$3),0)</x:f>
        <x:v>0</x:v>
      </x:c>
      <x:c r="E60" t="n">
        <x:f>IF(A60=A59,--(ABS('01 Sensory Input'!E60-'01 Sensory Input'!E59)&gt;=$B$3),0)</x:f>
        <x:v>0</x:v>
      </x:c>
      <x:c r="F60" t="n">
        <x:f>IF(A60=A59,--(ABS('01 Sensory Input'!F60-'01 Sensory Input'!F59)&gt;=$B$3),0)</x:f>
        <x:v>0</x:v>
      </x:c>
      <x:c r="G60" t="n">
        <x:f>IF(A60=A59,--(ABS('01 Sensory Input'!G60-'01 Sensory Input'!G59)&gt;=$B$3),0)</x:f>
        <x:v>0</x:v>
      </x:c>
      <x:c r="H60" t="n">
        <x:f>--(SUM(C60:G60)&gt;=2)</x:f>
        <x:v>0</x:v>
      </x:c>
    </x:row>
    <x:row r="61">
      <x:c r="A61" t="n">
        <x:f>'01 Sensory Input'!A61</x:f>
        <x:v>3</x:v>
      </x:c>
      <x:c r="B61" t="n">
        <x:f>'01 Sensory Input'!B61</x:f>
        <x:v>16</x:v>
      </x:c>
      <x:c r="C61" t="n">
        <x:f>IF(A61=A60,--(ABS('01 Sensory Input'!C61-'01 Sensory Input'!C60)&gt;=$B$3),0)</x:f>
        <x:v>0</x:v>
      </x:c>
      <x:c r="D61" t="n">
        <x:f>IF(A61=A60,--(ABS('01 Sensory Input'!D61-'01 Sensory Input'!D60)&gt;=$B$3),0)</x:f>
        <x:v>0</x:v>
      </x:c>
      <x:c r="E61" t="n">
        <x:f>IF(A61=A60,--(ABS('01 Sensory Input'!E61-'01 Sensory Input'!E60)&gt;=$B$3),0)</x:f>
        <x:v>0</x:v>
      </x:c>
      <x:c r="F61" t="n">
        <x:f>IF(A61=A60,--(ABS('01 Sensory Input'!F61-'01 Sensory Input'!F60)&gt;=$B$3),0)</x:f>
        <x:v>0</x:v>
      </x:c>
      <x:c r="G61" t="n">
        <x:f>IF(A61=A60,--(ABS('01 Sensory Input'!G61-'01 Sensory Input'!G60)&gt;=$B$3),0)</x:f>
        <x:v>0</x:v>
      </x:c>
      <x:c r="H61" t="n">
        <x:f>--(SUM(C61:G61)&gt;=2)</x:f>
        <x:v>0</x:v>
      </x:c>
    </x:row>
    <x:row r="62">
      <x:c r="A62" t="n">
        <x:f>'01 Sensory Input'!A62</x:f>
        <x:v>3</x:v>
      </x:c>
      <x:c r="B62" t="n">
        <x:f>'01 Sensory Input'!B62</x:f>
        <x:v>17</x:v>
      </x:c>
      <x:c r="C62" t="n">
        <x:f>IF(A62=A61,--(ABS('01 Sensory Input'!C62-'01 Sensory Input'!C61)&gt;=$B$3),0)</x:f>
        <x:v>0</x:v>
      </x:c>
      <x:c r="D62" t="n">
        <x:f>IF(A62=A61,--(ABS('01 Sensory Input'!D62-'01 Sensory Input'!D61)&gt;=$B$3),0)</x:f>
        <x:v>0</x:v>
      </x:c>
      <x:c r="E62" t="n">
        <x:f>IF(A62=A61,--(ABS('01 Sensory Input'!E62-'01 Sensory Input'!E61)&gt;=$B$3),0)</x:f>
        <x:v>0</x:v>
      </x:c>
      <x:c r="F62" t="n">
        <x:f>IF(A62=A61,--(ABS('01 Sensory Input'!F62-'01 Sensory Input'!F61)&gt;=$B$3),0)</x:f>
        <x:v>0</x:v>
      </x:c>
      <x:c r="G62" t="n">
        <x:f>IF(A62=A61,--(ABS('01 Sensory Input'!G62-'01 Sensory Input'!G61)&gt;=$B$3),0)</x:f>
        <x:v>0</x:v>
      </x:c>
      <x:c r="H62" t="n">
        <x:f>--(SUM(C62:G62)&gt;=2)</x:f>
        <x:v>0</x:v>
      </x:c>
    </x:row>
    <x:row r="63">
      <x:c r="A63" t="n">
        <x:f>'01 Sensory Input'!A63</x:f>
        <x:v>3</x:v>
      </x:c>
      <x:c r="B63" t="n">
        <x:f>'01 Sensory Input'!B63</x:f>
        <x:v>18</x:v>
      </x:c>
      <x:c r="C63" t="n">
        <x:f>IF(A63=A62,--(ABS('01 Sensory Input'!C63-'01 Sensory Input'!C62)&gt;=$B$3),0)</x:f>
        <x:v>0</x:v>
      </x:c>
      <x:c r="D63" t="n">
        <x:f>IF(A63=A62,--(ABS('01 Sensory Input'!D63-'01 Sensory Input'!D62)&gt;=$B$3),0)</x:f>
        <x:v>0</x:v>
      </x:c>
      <x:c r="E63" t="n">
        <x:f>IF(A63=A62,--(ABS('01 Sensory Input'!E63-'01 Sensory Input'!E62)&gt;=$B$3),0)</x:f>
        <x:v>0</x:v>
      </x:c>
      <x:c r="F63" t="n">
        <x:f>IF(A63=A62,--(ABS('01 Sensory Input'!F63-'01 Sensory Input'!F62)&gt;=$B$3),0)</x:f>
        <x:v>0</x:v>
      </x:c>
      <x:c r="G63" t="n">
        <x:f>IF(A63=A62,--(ABS('01 Sensory Input'!G63-'01 Sensory Input'!G62)&gt;=$B$3),0)</x:f>
        <x:v>0</x:v>
      </x:c>
      <x:c r="H63" t="n">
        <x:f>--(SUM(C63:G63)&gt;=2)</x:f>
        <x:v>0</x:v>
      </x:c>
    </x:row>
    <x:row r="64">
      <x:c r="A64" t="n">
        <x:f>'01 Sensory Input'!A64</x:f>
        <x:v>3</x:v>
      </x:c>
      <x:c r="B64" t="n">
        <x:f>'01 Sensory Input'!B64</x:f>
        <x:v>19</x:v>
      </x:c>
      <x:c r="C64" t="n">
        <x:f>IF(A64=A63,--(ABS('01 Sensory Input'!C64-'01 Sensory Input'!C63)&gt;=$B$3),0)</x:f>
        <x:v>0</x:v>
      </x:c>
      <x:c r="D64" t="n">
        <x:f>IF(A64=A63,--(ABS('01 Sensory Input'!D64-'01 Sensory Input'!D63)&gt;=$B$3),0)</x:f>
        <x:v>0</x:v>
      </x:c>
      <x:c r="E64" t="n">
        <x:f>IF(A64=A63,--(ABS('01 Sensory Input'!E64-'01 Sensory Input'!E63)&gt;=$B$3),0)</x:f>
        <x:v>0</x:v>
      </x:c>
      <x:c r="F64" t="n">
        <x:f>IF(A64=A63,--(ABS('01 Sensory Input'!F64-'01 Sensory Input'!F63)&gt;=$B$3),0)</x:f>
        <x:v>0</x:v>
      </x:c>
      <x:c r="G64" t="n">
        <x:f>IF(A64=A63,--(ABS('01 Sensory Input'!G64-'01 Sensory Input'!G63)&gt;=$B$3),0)</x:f>
        <x:v>0</x:v>
      </x:c>
      <x:c r="H64" t="n">
        <x:f>--(SUM(C64:G64)&gt;=2)</x:f>
        <x:v>0</x:v>
      </x:c>
    </x:row>
    <x:row r="65">
      <x:c r="A65" t="n">
        <x:f>'01 Sensory Input'!A65</x:f>
        <x:v>3</x:v>
      </x:c>
      <x:c r="B65" t="n">
        <x:f>'01 Sensory Input'!B65</x:f>
        <x:v>20</x:v>
      </x:c>
      <x:c r="C65" t="n">
        <x:f>IF(A65=A64,--(ABS('01 Sensory Input'!C65-'01 Sensory Input'!C64)&gt;=$B$3),0)</x:f>
        <x:v>0</x:v>
      </x:c>
      <x:c r="D65" t="n">
        <x:f>IF(A65=A64,--(ABS('01 Sensory Input'!D65-'01 Sensory Input'!D64)&gt;=$B$3),0)</x:f>
        <x:v>0</x:v>
      </x:c>
      <x:c r="E65" t="n">
        <x:f>IF(A65=A64,--(ABS('01 Sensory Input'!E65-'01 Sensory Input'!E64)&gt;=$B$3),0)</x:f>
        <x:v>0</x:v>
      </x:c>
      <x:c r="F65" t="n">
        <x:f>IF(A65=A64,--(ABS('01 Sensory Input'!F65-'01 Sensory Input'!F64)&gt;=$B$3),0)</x:f>
        <x:v>0</x:v>
      </x:c>
      <x:c r="G65" t="n">
        <x:f>IF(A65=A64,--(ABS('01 Sensory Input'!G65-'01 Sensory Input'!G64)&gt;=$B$3),0)</x:f>
        <x:v>0</x:v>
      </x:c>
      <x:c r="H65" t="n">
        <x:f>--(SUM(C65:G65)&gt;=2)</x:f>
        <x:v>0</x:v>
      </x:c>
    </x:row>
    <x:row r="66">
      <x:c r="A66" t="n">
        <x:f>'01 Sensory Input'!A66</x:f>
        <x:v>4</x:v>
      </x:c>
      <x:c r="B66" t="n">
        <x:f>'01 Sensory Input'!B66</x:f>
        <x:v>1</x:v>
      </x:c>
      <x:c r="C66" t="n">
        <x:f>IF(A66=A65,--(ABS('01 Sensory Input'!C66-'01 Sensory Input'!C65)&gt;=$B$3),0)</x:f>
        <x:v>0</x:v>
      </x:c>
      <x:c r="D66" t="n">
        <x:f>IF(A66=A65,--(ABS('01 Sensory Input'!D66-'01 Sensory Input'!D65)&gt;=$B$3),0)</x:f>
        <x:v>0</x:v>
      </x:c>
      <x:c r="E66" t="n">
        <x:f>IF(A66=A65,--(ABS('01 Sensory Input'!E66-'01 Sensory Input'!E65)&gt;=$B$3),0)</x:f>
        <x:v>0</x:v>
      </x:c>
      <x:c r="F66" t="n">
        <x:f>IF(A66=A65,--(ABS('01 Sensory Input'!F66-'01 Sensory Input'!F65)&gt;=$B$3),0)</x:f>
        <x:v>0</x:v>
      </x:c>
      <x:c r="G66" t="n">
        <x:f>IF(A66=A65,--(ABS('01 Sensory Input'!G66-'01 Sensory Input'!G65)&gt;=$B$3),0)</x:f>
        <x:v>0</x:v>
      </x:c>
      <x:c r="H66" t="n">
        <x:f>--(SUM(C66:G66)&gt;=2)</x:f>
        <x:v>0</x:v>
      </x:c>
    </x:row>
    <x:row r="67">
      <x:c r="A67" t="n">
        <x:f>'01 Sensory Input'!A67</x:f>
        <x:v>4</x:v>
      </x:c>
      <x:c r="B67" t="n">
        <x:f>'01 Sensory Input'!B67</x:f>
        <x:v>2</x:v>
      </x:c>
      <x:c r="C67" t="n">
        <x:f>IF(A67=A66,--(ABS('01 Sensory Input'!C67-'01 Sensory Input'!C66)&gt;=$B$3),0)</x:f>
        <x:v>0</x:v>
      </x:c>
      <x:c r="D67" t="n">
        <x:f>IF(A67=A66,--(ABS('01 Sensory Input'!D67-'01 Sensory Input'!D66)&gt;=$B$3),0)</x:f>
        <x:v>0</x:v>
      </x:c>
      <x:c r="E67" t="n">
        <x:f>IF(A67=A66,--(ABS('01 Sensory Input'!E67-'01 Sensory Input'!E66)&gt;=$B$3),0)</x:f>
        <x:v>0</x:v>
      </x:c>
      <x:c r="F67" t="n">
        <x:f>IF(A67=A66,--(ABS('01 Sensory Input'!F67-'01 Sensory Input'!F66)&gt;=$B$3),0)</x:f>
        <x:v>0</x:v>
      </x:c>
      <x:c r="G67" t="n">
        <x:f>IF(A67=A66,--(ABS('01 Sensory Input'!G67-'01 Sensory Input'!G66)&gt;=$B$3),0)</x:f>
        <x:v>0</x:v>
      </x:c>
      <x:c r="H67" t="n">
        <x:f>--(SUM(C67:G67)&gt;=2)</x:f>
        <x:v>0</x:v>
      </x:c>
    </x:row>
    <x:row r="68">
      <x:c r="A68" t="n">
        <x:f>'01 Sensory Input'!A68</x:f>
        <x:v>4</x:v>
      </x:c>
      <x:c r="B68" t="n">
        <x:f>'01 Sensory Input'!B68</x:f>
        <x:v>3</x:v>
      </x:c>
      <x:c r="C68" t="n">
        <x:f>IF(A68=A67,--(ABS('01 Sensory Input'!C68-'01 Sensory Input'!C67)&gt;=$B$3),0)</x:f>
        <x:v>0</x:v>
      </x:c>
      <x:c r="D68" t="n">
        <x:f>IF(A68=A67,--(ABS('01 Sensory Input'!D68-'01 Sensory Input'!D67)&gt;=$B$3),0)</x:f>
        <x:v>0</x:v>
      </x:c>
      <x:c r="E68" t="n">
        <x:f>IF(A68=A67,--(ABS('01 Sensory Input'!E68-'01 Sensory Input'!E67)&gt;=$B$3),0)</x:f>
        <x:v>0</x:v>
      </x:c>
      <x:c r="F68" t="n">
        <x:f>IF(A68=A67,--(ABS('01 Sensory Input'!F68-'01 Sensory Input'!F67)&gt;=$B$3),0)</x:f>
        <x:v>0</x:v>
      </x:c>
      <x:c r="G68" t="n">
        <x:f>IF(A68=A67,--(ABS('01 Sensory Input'!G68-'01 Sensory Input'!G67)&gt;=$B$3),0)</x:f>
        <x:v>0</x:v>
      </x:c>
      <x:c r="H68" t="n">
        <x:f>--(SUM(C68:G68)&gt;=2)</x:f>
        <x:v>0</x:v>
      </x:c>
    </x:row>
    <x:row r="69">
      <x:c r="A69" t="n">
        <x:f>'01 Sensory Input'!A69</x:f>
        <x:v>4</x:v>
      </x:c>
      <x:c r="B69" t="n">
        <x:f>'01 Sensory Input'!B69</x:f>
        <x:v>4</x:v>
      </x:c>
      <x:c r="C69" t="n">
        <x:f>IF(A69=A68,--(ABS('01 Sensory Input'!C69-'01 Sensory Input'!C68)&gt;=$B$3),0)</x:f>
        <x:v>0</x:v>
      </x:c>
      <x:c r="D69" t="n">
        <x:f>IF(A69=A68,--(ABS('01 Sensory Input'!D69-'01 Sensory Input'!D68)&gt;=$B$3),0)</x:f>
        <x:v>0</x:v>
      </x:c>
      <x:c r="E69" t="n">
        <x:f>IF(A69=A68,--(ABS('01 Sensory Input'!E69-'01 Sensory Input'!E68)&gt;=$B$3),0)</x:f>
        <x:v>0</x:v>
      </x:c>
      <x:c r="F69" t="n">
        <x:f>IF(A69=A68,--(ABS('01 Sensory Input'!F69-'01 Sensory Input'!F68)&gt;=$B$3),0)</x:f>
        <x:v>0</x:v>
      </x:c>
      <x:c r="G69" t="n">
        <x:f>IF(A69=A68,--(ABS('01 Sensory Input'!G69-'01 Sensory Input'!G68)&gt;=$B$3),0)</x:f>
        <x:v>0</x:v>
      </x:c>
      <x:c r="H69" t="n">
        <x:f>--(SUM(C69:G69)&gt;=2)</x:f>
        <x:v>0</x:v>
      </x:c>
    </x:row>
    <x:row r="70">
      <x:c r="A70" t="n">
        <x:f>'01 Sensory Input'!A70</x:f>
        <x:v>4</x:v>
      </x:c>
      <x:c r="B70" t="n">
        <x:f>'01 Sensory Input'!B70</x:f>
        <x:v>5</x:v>
      </x:c>
      <x:c r="C70" t="n">
        <x:f>IF(A70=A69,--(ABS('01 Sensory Input'!C70-'01 Sensory Input'!C69)&gt;=$B$3),0)</x:f>
        <x:v>0</x:v>
      </x:c>
      <x:c r="D70" t="n">
        <x:f>IF(A70=A69,--(ABS('01 Sensory Input'!D70-'01 Sensory Input'!D69)&gt;=$B$3),0)</x:f>
        <x:v>0</x:v>
      </x:c>
      <x:c r="E70" t="n">
        <x:f>IF(A70=A69,--(ABS('01 Sensory Input'!E70-'01 Sensory Input'!E69)&gt;=$B$3),0)</x:f>
        <x:v>0</x:v>
      </x:c>
      <x:c r="F70" t="n">
        <x:f>IF(A70=A69,--(ABS('01 Sensory Input'!F70-'01 Sensory Input'!F69)&gt;=$B$3),0)</x:f>
        <x:v>0</x:v>
      </x:c>
      <x:c r="G70" t="n">
        <x:f>IF(A70=A69,--(ABS('01 Sensory Input'!G70-'01 Sensory Input'!G69)&gt;=$B$3),0)</x:f>
        <x:v>0</x:v>
      </x:c>
      <x:c r="H70" t="n">
        <x:f>--(SUM(C70:G70)&gt;=2)</x:f>
        <x:v>0</x:v>
      </x:c>
    </x:row>
    <x:row r="71">
      <x:c r="A71" t="n">
        <x:f>'01 Sensory Input'!A71</x:f>
        <x:v>4</x:v>
      </x:c>
      <x:c r="B71" t="n">
        <x:f>'01 Sensory Input'!B71</x:f>
        <x:v>6</x:v>
      </x:c>
      <x:c r="C71" t="n">
        <x:f>IF(A71=A70,--(ABS('01 Sensory Input'!C71-'01 Sensory Input'!C70)&gt;=$B$3),0)</x:f>
        <x:v>0</x:v>
      </x:c>
      <x:c r="D71" t="n">
        <x:f>IF(A71=A70,--(ABS('01 Sensory Input'!D71-'01 Sensory Input'!D70)&gt;=$B$3),0)</x:f>
        <x:v>0</x:v>
      </x:c>
      <x:c r="E71" t="n">
        <x:f>IF(A71=A70,--(ABS('01 Sensory Input'!E71-'01 Sensory Input'!E70)&gt;=$B$3),0)</x:f>
        <x:v>1</x:v>
      </x:c>
      <x:c r="F71" t="n">
        <x:f>IF(A71=A70,--(ABS('01 Sensory Input'!F71-'01 Sensory Input'!F70)&gt;=$B$3),0)</x:f>
        <x:v>0</x:v>
      </x:c>
      <x:c r="G71" t="n">
        <x:f>IF(A71=A70,--(ABS('01 Sensory Input'!G71-'01 Sensory Input'!G70)&gt;=$B$3),0)</x:f>
        <x:v>0</x:v>
      </x:c>
      <x:c r="H71" t="n">
        <x:f>--(SUM(C71:G71)&gt;=2)</x:f>
        <x:v>0</x:v>
      </x:c>
    </x:row>
    <x:row r="72">
      <x:c r="A72" t="n">
        <x:f>'01 Sensory Input'!A72</x:f>
        <x:v>4</x:v>
      </x:c>
      <x:c r="B72" t="n">
        <x:f>'01 Sensory Input'!B72</x:f>
        <x:v>7</x:v>
      </x:c>
      <x:c r="C72" t="n">
        <x:f>IF(A72=A71,--(ABS('01 Sensory Input'!C72-'01 Sensory Input'!C71)&gt;=$B$3),0)</x:f>
        <x:v>0</x:v>
      </x:c>
      <x:c r="D72" t="n">
        <x:f>IF(A72=A71,--(ABS('01 Sensory Input'!D72-'01 Sensory Input'!D71)&gt;=$B$3),0)</x:f>
        <x:v>0</x:v>
      </x:c>
      <x:c r="E72" t="n">
        <x:f>IF(A72=A71,--(ABS('01 Sensory Input'!E72-'01 Sensory Input'!E71)&gt;=$B$3),0)</x:f>
        <x:v>0</x:v>
      </x:c>
      <x:c r="F72" t="n">
        <x:f>IF(A72=A71,--(ABS('01 Sensory Input'!F72-'01 Sensory Input'!F71)&gt;=$B$3),0)</x:f>
        <x:v>0</x:v>
      </x:c>
      <x:c r="G72" t="n">
        <x:f>IF(A72=A71,--(ABS('01 Sensory Input'!G72-'01 Sensory Input'!G71)&gt;=$B$3),0)</x:f>
        <x:v>0</x:v>
      </x:c>
      <x:c r="H72" t="n">
        <x:f>--(SUM(C72:G72)&gt;=2)</x:f>
        <x:v>0</x:v>
      </x:c>
    </x:row>
    <x:row r="73">
      <x:c r="A73" t="n">
        <x:f>'01 Sensory Input'!A73</x:f>
        <x:v>4</x:v>
      </x:c>
      <x:c r="B73" t="n">
        <x:f>'01 Sensory Input'!B73</x:f>
        <x:v>8</x:v>
      </x:c>
      <x:c r="C73" t="n">
        <x:f>IF(A73=A72,--(ABS('01 Sensory Input'!C73-'01 Sensory Input'!C72)&gt;=$B$3),0)</x:f>
        <x:v>0</x:v>
      </x:c>
      <x:c r="D73" t="n">
        <x:f>IF(A73=A72,--(ABS('01 Sensory Input'!D73-'01 Sensory Input'!D72)&gt;=$B$3),0)</x:f>
        <x:v>0</x:v>
      </x:c>
      <x:c r="E73" t="n">
        <x:f>IF(A73=A72,--(ABS('01 Sensory Input'!E73-'01 Sensory Input'!E72)&gt;=$B$3),0)</x:f>
        <x:v>1</x:v>
      </x:c>
      <x:c r="F73" t="n">
        <x:f>IF(A73=A72,--(ABS('01 Sensory Input'!F73-'01 Sensory Input'!F72)&gt;=$B$3),0)</x:f>
        <x:v>0</x:v>
      </x:c>
      <x:c r="G73" t="n">
        <x:f>IF(A73=A72,--(ABS('01 Sensory Input'!G73-'01 Sensory Input'!G72)&gt;=$B$3),0)</x:f>
        <x:v>0</x:v>
      </x:c>
      <x:c r="H73" t="n">
        <x:f>--(SUM(C73:G73)&gt;=2)</x:f>
        <x:v>0</x:v>
      </x:c>
    </x:row>
    <x:row r="74">
      <x:c r="A74" t="n">
        <x:f>'01 Sensory Input'!A74</x:f>
        <x:v>4</x:v>
      </x:c>
      <x:c r="B74" t="n">
        <x:f>'01 Sensory Input'!B74</x:f>
        <x:v>9</x:v>
      </x:c>
      <x:c r="C74" t="n">
        <x:f>IF(A74=A73,--(ABS('01 Sensory Input'!C74-'01 Sensory Input'!C73)&gt;=$B$3),0)</x:f>
        <x:v>0</x:v>
      </x:c>
      <x:c r="D74" t="n">
        <x:f>IF(A74=A73,--(ABS('01 Sensory Input'!D74-'01 Sensory Input'!D73)&gt;=$B$3),0)</x:f>
        <x:v>0</x:v>
      </x:c>
      <x:c r="E74" t="n">
        <x:f>IF(A74=A73,--(ABS('01 Sensory Input'!E74-'01 Sensory Input'!E73)&gt;=$B$3),0)</x:f>
        <x:v>0</x:v>
      </x:c>
      <x:c r="F74" t="n">
        <x:f>IF(A74=A73,--(ABS('01 Sensory Input'!F74-'01 Sensory Input'!F73)&gt;=$B$3),0)</x:f>
        <x:v>0</x:v>
      </x:c>
      <x:c r="G74" t="n">
        <x:f>IF(A74=A73,--(ABS('01 Sensory Input'!G74-'01 Sensory Input'!G73)&gt;=$B$3),0)</x:f>
        <x:v>0</x:v>
      </x:c>
      <x:c r="H74" t="n">
        <x:f>--(SUM(C74:G74)&gt;=2)</x:f>
        <x:v>0</x:v>
      </x:c>
    </x:row>
    <x:row r="75">
      <x:c r="A75" t="n">
        <x:f>'01 Sensory Input'!A75</x:f>
        <x:v>4</x:v>
      </x:c>
      <x:c r="B75" t="n">
        <x:f>'01 Sensory Input'!B75</x:f>
        <x:v>10</x:v>
      </x:c>
      <x:c r="C75" t="n">
        <x:f>IF(A75=A74,--(ABS('01 Sensory Input'!C75-'01 Sensory Input'!C74)&gt;=$B$3),0)</x:f>
        <x:v>0</x:v>
      </x:c>
      <x:c r="D75" t="n">
        <x:f>IF(A75=A74,--(ABS('01 Sensory Input'!D75-'01 Sensory Input'!D74)&gt;=$B$3),0)</x:f>
        <x:v>0</x:v>
      </x:c>
      <x:c r="E75" t="n">
        <x:f>IF(A75=A74,--(ABS('01 Sensory Input'!E75-'01 Sensory Input'!E74)&gt;=$B$3),0)</x:f>
        <x:v>0</x:v>
      </x:c>
      <x:c r="F75" t="n">
        <x:f>IF(A75=A74,--(ABS('01 Sensory Input'!F75-'01 Sensory Input'!F74)&gt;=$B$3),0)</x:f>
        <x:v>0</x:v>
      </x:c>
      <x:c r="G75" t="n">
        <x:f>IF(A75=A74,--(ABS('01 Sensory Input'!G75-'01 Sensory Input'!G74)&gt;=$B$3),0)</x:f>
        <x:v>0</x:v>
      </x:c>
      <x:c r="H75" t="n">
        <x:f>--(SUM(C75:G75)&gt;=2)</x:f>
        <x:v>0</x:v>
      </x:c>
    </x:row>
    <x:row r="76">
      <x:c r="A76" t="n">
        <x:f>'01 Sensory Input'!A76</x:f>
        <x:v>4</x:v>
      </x:c>
      <x:c r="B76" t="n">
        <x:f>'01 Sensory Input'!B76</x:f>
        <x:v>11</x:v>
      </x:c>
      <x:c r="C76" t="n">
        <x:f>IF(A76=A75,--(ABS('01 Sensory Input'!C76-'01 Sensory Input'!C75)&gt;=$B$3),0)</x:f>
        <x:v>0</x:v>
      </x:c>
      <x:c r="D76" t="n">
        <x:f>IF(A76=A75,--(ABS('01 Sensory Input'!D76-'01 Sensory Input'!D75)&gt;=$B$3),0)</x:f>
        <x:v>0</x:v>
      </x:c>
      <x:c r="E76" t="n">
        <x:f>IF(A76=A75,--(ABS('01 Sensory Input'!E76-'01 Sensory Input'!E75)&gt;=$B$3),0)</x:f>
        <x:v>0</x:v>
      </x:c>
      <x:c r="F76" t="n">
        <x:f>IF(A76=A75,--(ABS('01 Sensory Input'!F76-'01 Sensory Input'!F75)&gt;=$B$3),0)</x:f>
        <x:v>0</x:v>
      </x:c>
      <x:c r="G76" t="n">
        <x:f>IF(A76=A75,--(ABS('01 Sensory Input'!G76-'01 Sensory Input'!G75)&gt;=$B$3),0)</x:f>
        <x:v>0</x:v>
      </x:c>
      <x:c r="H76" t="n">
        <x:f>--(SUM(C76:G76)&gt;=2)</x:f>
        <x:v>0</x:v>
      </x:c>
    </x:row>
    <x:row r="77">
      <x:c r="A77" t="n">
        <x:f>'01 Sensory Input'!A77</x:f>
        <x:v>4</x:v>
      </x:c>
      <x:c r="B77" t="n">
        <x:f>'01 Sensory Input'!B77</x:f>
        <x:v>12</x:v>
      </x:c>
      <x:c r="C77" t="n">
        <x:f>IF(A77=A76,--(ABS('01 Sensory Input'!C77-'01 Sensory Input'!C76)&gt;=$B$3),0)</x:f>
        <x:v>0</x:v>
      </x:c>
      <x:c r="D77" t="n">
        <x:f>IF(A77=A76,--(ABS('01 Sensory Input'!D77-'01 Sensory Input'!D76)&gt;=$B$3),0)</x:f>
        <x:v>0</x:v>
      </x:c>
      <x:c r="E77" t="n">
        <x:f>IF(A77=A76,--(ABS('01 Sensory Input'!E77-'01 Sensory Input'!E76)&gt;=$B$3),0)</x:f>
        <x:v>0</x:v>
      </x:c>
      <x:c r="F77" t="n">
        <x:f>IF(A77=A76,--(ABS('01 Sensory Input'!F77-'01 Sensory Input'!F76)&gt;=$B$3),0)</x:f>
        <x:v>0</x:v>
      </x:c>
      <x:c r="G77" t="n">
        <x:f>IF(A77=A76,--(ABS('01 Sensory Input'!G77-'01 Sensory Input'!G76)&gt;=$B$3),0)</x:f>
        <x:v>0</x:v>
      </x:c>
      <x:c r="H77" t="n">
        <x:f>--(SUM(C77:G77)&gt;=2)</x:f>
        <x:v>0</x:v>
      </x:c>
    </x:row>
    <x:row r="78">
      <x:c r="A78" t="n">
        <x:f>'01 Sensory Input'!A78</x:f>
        <x:v>4</x:v>
      </x:c>
      <x:c r="B78" t="n">
        <x:f>'01 Sensory Input'!B78</x:f>
        <x:v>13</x:v>
      </x:c>
      <x:c r="C78" t="n">
        <x:f>IF(A78=A77,--(ABS('01 Sensory Input'!C78-'01 Sensory Input'!C77)&gt;=$B$3),0)</x:f>
        <x:v>0</x:v>
      </x:c>
      <x:c r="D78" t="n">
        <x:f>IF(A78=A77,--(ABS('01 Sensory Input'!D78-'01 Sensory Input'!D77)&gt;=$B$3),0)</x:f>
        <x:v>0</x:v>
      </x:c>
      <x:c r="E78" t="n">
        <x:f>IF(A78=A77,--(ABS('01 Sensory Input'!E78-'01 Sensory Input'!E77)&gt;=$B$3),0)</x:f>
        <x:v>0</x:v>
      </x:c>
      <x:c r="F78" t="n">
        <x:f>IF(A78=A77,--(ABS('01 Sensory Input'!F78-'01 Sensory Input'!F77)&gt;=$B$3),0)</x:f>
        <x:v>0</x:v>
      </x:c>
      <x:c r="G78" t="n">
        <x:f>IF(A78=A77,--(ABS('01 Sensory Input'!G78-'01 Sensory Input'!G77)&gt;=$B$3),0)</x:f>
        <x:v>0</x:v>
      </x:c>
      <x:c r="H78" t="n">
        <x:f>--(SUM(C78:G78)&gt;=2)</x:f>
        <x:v>0</x:v>
      </x:c>
    </x:row>
    <x:row r="79">
      <x:c r="A79" t="n">
        <x:f>'01 Sensory Input'!A79</x:f>
        <x:v>4</x:v>
      </x:c>
      <x:c r="B79" t="n">
        <x:f>'01 Sensory Input'!B79</x:f>
        <x:v>14</x:v>
      </x:c>
      <x:c r="C79" t="n">
        <x:f>IF(A79=A78,--(ABS('01 Sensory Input'!C79-'01 Sensory Input'!C78)&gt;=$B$3),0)</x:f>
        <x:v>0</x:v>
      </x:c>
      <x:c r="D79" t="n">
        <x:f>IF(A79=A78,--(ABS('01 Sensory Input'!D79-'01 Sensory Input'!D78)&gt;=$B$3),0)</x:f>
        <x:v>0</x:v>
      </x:c>
      <x:c r="E79" t="n">
        <x:f>IF(A79=A78,--(ABS('01 Sensory Input'!E79-'01 Sensory Input'!E78)&gt;=$B$3),0)</x:f>
        <x:v>0</x:v>
      </x:c>
      <x:c r="F79" t="n">
        <x:f>IF(A79=A78,--(ABS('01 Sensory Input'!F79-'01 Sensory Input'!F78)&gt;=$B$3),0)</x:f>
        <x:v>0</x:v>
      </x:c>
      <x:c r="G79" t="n">
        <x:f>IF(A79=A78,--(ABS('01 Sensory Input'!G79-'01 Sensory Input'!G78)&gt;=$B$3),0)</x:f>
        <x:v>0</x:v>
      </x:c>
      <x:c r="H79" t="n">
        <x:f>--(SUM(C79:G79)&gt;=2)</x:f>
        <x:v>0</x:v>
      </x:c>
    </x:row>
    <x:row r="80">
      <x:c r="A80" t="n">
        <x:f>'01 Sensory Input'!A80</x:f>
        <x:v>4</x:v>
      </x:c>
      <x:c r="B80" t="n">
        <x:f>'01 Sensory Input'!B80</x:f>
        <x:v>15</x:v>
      </x:c>
      <x:c r="C80" t="n">
        <x:f>IF(A80=A79,--(ABS('01 Sensory Input'!C80-'01 Sensory Input'!C79)&gt;=$B$3),0)</x:f>
        <x:v>0</x:v>
      </x:c>
      <x:c r="D80" t="n">
        <x:f>IF(A80=A79,--(ABS('01 Sensory Input'!D80-'01 Sensory Input'!D79)&gt;=$B$3),0)</x:f>
        <x:v>0</x:v>
      </x:c>
      <x:c r="E80" t="n">
        <x:f>IF(A80=A79,--(ABS('01 Sensory Input'!E80-'01 Sensory Input'!E79)&gt;=$B$3),0)</x:f>
        <x:v>0</x:v>
      </x:c>
      <x:c r="F80" t="n">
        <x:f>IF(A80=A79,--(ABS('01 Sensory Input'!F80-'01 Sensory Input'!F79)&gt;=$B$3),0)</x:f>
        <x:v>0</x:v>
      </x:c>
      <x:c r="G80" t="n">
        <x:f>IF(A80=A79,--(ABS('01 Sensory Input'!G80-'01 Sensory Input'!G79)&gt;=$B$3),0)</x:f>
        <x:v>0</x:v>
      </x:c>
      <x:c r="H80" t="n">
        <x:f>--(SUM(C80:G80)&gt;=2)</x:f>
        <x:v>0</x:v>
      </x:c>
    </x:row>
    <x:row r="81">
      <x:c r="A81" t="n">
        <x:f>'01 Sensory Input'!A81</x:f>
        <x:v>4</x:v>
      </x:c>
      <x:c r="B81" t="n">
        <x:f>'01 Sensory Input'!B81</x:f>
        <x:v>16</x:v>
      </x:c>
      <x:c r="C81" t="n">
        <x:f>IF(A81=A80,--(ABS('01 Sensory Input'!C81-'01 Sensory Input'!C80)&gt;=$B$3),0)</x:f>
        <x:v>0</x:v>
      </x:c>
      <x:c r="D81" t="n">
        <x:f>IF(A81=A80,--(ABS('01 Sensory Input'!D81-'01 Sensory Input'!D80)&gt;=$B$3),0)</x:f>
        <x:v>0</x:v>
      </x:c>
      <x:c r="E81" t="n">
        <x:f>IF(A81=A80,--(ABS('01 Sensory Input'!E81-'01 Sensory Input'!E80)&gt;=$B$3),0)</x:f>
        <x:v>0</x:v>
      </x:c>
      <x:c r="F81" t="n">
        <x:f>IF(A81=A80,--(ABS('01 Sensory Input'!F81-'01 Sensory Input'!F80)&gt;=$B$3),0)</x:f>
        <x:v>0</x:v>
      </x:c>
      <x:c r="G81" t="n">
        <x:f>IF(A81=A80,--(ABS('01 Sensory Input'!G81-'01 Sensory Input'!G80)&gt;=$B$3),0)</x:f>
        <x:v>0</x:v>
      </x:c>
      <x:c r="H81" t="n">
        <x:f>--(SUM(C81:G81)&gt;=2)</x:f>
        <x:v>0</x:v>
      </x:c>
    </x:row>
    <x:row r="82">
      <x:c r="A82" t="n">
        <x:f>'01 Sensory Input'!A82</x:f>
        <x:v>4</x:v>
      </x:c>
      <x:c r="B82" t="n">
        <x:f>'01 Sensory Input'!B82</x:f>
        <x:v>17</x:v>
      </x:c>
      <x:c r="C82" t="n">
        <x:f>IF(A82=A81,--(ABS('01 Sensory Input'!C82-'01 Sensory Input'!C81)&gt;=$B$3),0)</x:f>
        <x:v>0</x:v>
      </x:c>
      <x:c r="D82" t="n">
        <x:f>IF(A82=A81,--(ABS('01 Sensory Input'!D82-'01 Sensory Input'!D81)&gt;=$B$3),0)</x:f>
        <x:v>0</x:v>
      </x:c>
      <x:c r="E82" t="n">
        <x:f>IF(A82=A81,--(ABS('01 Sensory Input'!E82-'01 Sensory Input'!E81)&gt;=$B$3),0)</x:f>
        <x:v>0</x:v>
      </x:c>
      <x:c r="F82" t="n">
        <x:f>IF(A82=A81,--(ABS('01 Sensory Input'!F82-'01 Sensory Input'!F81)&gt;=$B$3),0)</x:f>
        <x:v>0</x:v>
      </x:c>
      <x:c r="G82" t="n">
        <x:f>IF(A82=A81,--(ABS('01 Sensory Input'!G82-'01 Sensory Input'!G81)&gt;=$B$3),0)</x:f>
        <x:v>0</x:v>
      </x:c>
      <x:c r="H82" t="n">
        <x:f>--(SUM(C82:G82)&gt;=2)</x:f>
        <x:v>0</x:v>
      </x:c>
    </x:row>
    <x:row r="83">
      <x:c r="A83" t="n">
        <x:f>'01 Sensory Input'!A83</x:f>
        <x:v>4</x:v>
      </x:c>
      <x:c r="B83" t="n">
        <x:f>'01 Sensory Input'!B83</x:f>
        <x:v>18</x:v>
      </x:c>
      <x:c r="C83" t="n">
        <x:f>IF(A83=A82,--(ABS('01 Sensory Input'!C83-'01 Sensory Input'!C82)&gt;=$B$3),0)</x:f>
        <x:v>0</x:v>
      </x:c>
      <x:c r="D83" t="n">
        <x:f>IF(A83=A82,--(ABS('01 Sensory Input'!D83-'01 Sensory Input'!D82)&gt;=$B$3),0)</x:f>
        <x:v>0</x:v>
      </x:c>
      <x:c r="E83" t="n">
        <x:f>IF(A83=A82,--(ABS('01 Sensory Input'!E83-'01 Sensory Input'!E82)&gt;=$B$3),0)</x:f>
        <x:v>0</x:v>
      </x:c>
      <x:c r="F83" t="n">
        <x:f>IF(A83=A82,--(ABS('01 Sensory Input'!F83-'01 Sensory Input'!F82)&gt;=$B$3),0)</x:f>
        <x:v>0</x:v>
      </x:c>
      <x:c r="G83" t="n">
        <x:f>IF(A83=A82,--(ABS('01 Sensory Input'!G83-'01 Sensory Input'!G82)&gt;=$B$3),0)</x:f>
        <x:v>0</x:v>
      </x:c>
      <x:c r="H83" t="n">
        <x:f>--(SUM(C83:G83)&gt;=2)</x:f>
        <x:v>0</x:v>
      </x:c>
    </x:row>
    <x:row r="84">
      <x:c r="A84" t="n">
        <x:f>'01 Sensory Input'!A84</x:f>
        <x:v>4</x:v>
      </x:c>
      <x:c r="B84" t="n">
        <x:f>'01 Sensory Input'!B84</x:f>
        <x:v>19</x:v>
      </x:c>
      <x:c r="C84" t="n">
        <x:f>IF(A84=A83,--(ABS('01 Sensory Input'!C84-'01 Sensory Input'!C83)&gt;=$B$3),0)</x:f>
        <x:v>0</x:v>
      </x:c>
      <x:c r="D84" t="n">
        <x:f>IF(A84=A83,--(ABS('01 Sensory Input'!D84-'01 Sensory Input'!D83)&gt;=$B$3),0)</x:f>
        <x:v>0</x:v>
      </x:c>
      <x:c r="E84" t="n">
        <x:f>IF(A84=A83,--(ABS('01 Sensory Input'!E84-'01 Sensory Input'!E83)&gt;=$B$3),0)</x:f>
        <x:v>0</x:v>
      </x:c>
      <x:c r="F84" t="n">
        <x:f>IF(A84=A83,--(ABS('01 Sensory Input'!F84-'01 Sensory Input'!F83)&gt;=$B$3),0)</x:f>
        <x:v>0</x:v>
      </x:c>
      <x:c r="G84" t="n">
        <x:f>IF(A84=A83,--(ABS('01 Sensory Input'!G84-'01 Sensory Input'!G83)&gt;=$B$3),0)</x:f>
        <x:v>0</x:v>
      </x:c>
      <x:c r="H84" t="n">
        <x:f>--(SUM(C84:G84)&gt;=2)</x:f>
        <x:v>0</x:v>
      </x:c>
    </x:row>
    <x:row r="85">
      <x:c r="A85" t="n">
        <x:f>'01 Sensory Input'!A85</x:f>
        <x:v>4</x:v>
      </x:c>
      <x:c r="B85" t="n">
        <x:f>'01 Sensory Input'!B85</x:f>
        <x:v>20</x:v>
      </x:c>
      <x:c r="C85" t="n">
        <x:f>IF(A85=A84,--(ABS('01 Sensory Input'!C85-'01 Sensory Input'!C84)&gt;=$B$3),0)</x:f>
        <x:v>0</x:v>
      </x:c>
      <x:c r="D85" t="n">
        <x:f>IF(A85=A84,--(ABS('01 Sensory Input'!D85-'01 Sensory Input'!D84)&gt;=$B$3),0)</x:f>
        <x:v>0</x:v>
      </x:c>
      <x:c r="E85" t="n">
        <x:f>IF(A85=A84,--(ABS('01 Sensory Input'!E85-'01 Sensory Input'!E84)&gt;=$B$3),0)</x:f>
        <x:v>0</x:v>
      </x:c>
      <x:c r="F85" t="n">
        <x:f>IF(A85=A84,--(ABS('01 Sensory Input'!F85-'01 Sensory Input'!F84)&gt;=$B$3),0)</x:f>
        <x:v>0</x:v>
      </x:c>
      <x:c r="G85" t="n">
        <x:f>IF(A85=A84,--(ABS('01 Sensory Input'!G85-'01 Sensory Input'!G84)&gt;=$B$3),0)</x:f>
        <x:v>0</x:v>
      </x:c>
      <x:c r="H85" t="n">
        <x:f>--(SUM(C85:G85)&gt;=2)</x:f>
        <x:v>0</x:v>
      </x:c>
    </x:row>
    <x:row r="86">
      <x:c r="A86" t="n">
        <x:f>'01 Sensory Input'!A86</x:f>
        <x:v>5</x:v>
      </x:c>
      <x:c r="B86" t="n">
        <x:f>'01 Sensory Input'!B86</x:f>
        <x:v>1</x:v>
      </x:c>
      <x:c r="C86" t="n">
        <x:f>IF(A86=A85,--(ABS('01 Sensory Input'!C86-'01 Sensory Input'!C85)&gt;=$B$3),0)</x:f>
        <x:v>0</x:v>
      </x:c>
      <x:c r="D86" t="n">
        <x:f>IF(A86=A85,--(ABS('01 Sensory Input'!D86-'01 Sensory Input'!D85)&gt;=$B$3),0)</x:f>
        <x:v>0</x:v>
      </x:c>
      <x:c r="E86" t="n">
        <x:f>IF(A86=A85,--(ABS('01 Sensory Input'!E86-'01 Sensory Input'!E85)&gt;=$B$3),0)</x:f>
        <x:v>0</x:v>
      </x:c>
      <x:c r="F86" t="n">
        <x:f>IF(A86=A85,--(ABS('01 Sensory Input'!F86-'01 Sensory Input'!F85)&gt;=$B$3),0)</x:f>
        <x:v>0</x:v>
      </x:c>
      <x:c r="G86" t="n">
        <x:f>IF(A86=A85,--(ABS('01 Sensory Input'!G86-'01 Sensory Input'!G85)&gt;=$B$3),0)</x:f>
        <x:v>0</x:v>
      </x:c>
      <x:c r="H86" t="n">
        <x:f>--(SUM(C86:G86)&gt;=2)</x:f>
        <x:v>0</x:v>
      </x:c>
    </x:row>
    <x:row r="87">
      <x:c r="A87" t="n">
        <x:f>'01 Sensory Input'!A87</x:f>
        <x:v>5</x:v>
      </x:c>
      <x:c r="B87" t="n">
        <x:f>'01 Sensory Input'!B87</x:f>
        <x:v>2</x:v>
      </x:c>
      <x:c r="C87" t="n">
        <x:f>IF(A87=A86,--(ABS('01 Sensory Input'!C87-'01 Sensory Input'!C86)&gt;=$B$3),0)</x:f>
        <x:v>0</x:v>
      </x:c>
      <x:c r="D87" t="n">
        <x:f>IF(A87=A86,--(ABS('01 Sensory Input'!D87-'01 Sensory Input'!D86)&gt;=$B$3),0)</x:f>
        <x:v>0</x:v>
      </x:c>
      <x:c r="E87" t="n">
        <x:f>IF(A87=A86,--(ABS('01 Sensory Input'!E87-'01 Sensory Input'!E86)&gt;=$B$3),0)</x:f>
        <x:v>0</x:v>
      </x:c>
      <x:c r="F87" t="n">
        <x:f>IF(A87=A86,--(ABS('01 Sensory Input'!F87-'01 Sensory Input'!F86)&gt;=$B$3),0)</x:f>
        <x:v>0</x:v>
      </x:c>
      <x:c r="G87" t="n">
        <x:f>IF(A87=A86,--(ABS('01 Sensory Input'!G87-'01 Sensory Input'!G86)&gt;=$B$3),0)</x:f>
        <x:v>0</x:v>
      </x:c>
      <x:c r="H87" t="n">
        <x:f>--(SUM(C87:G87)&gt;=2)</x:f>
        <x:v>0</x:v>
      </x:c>
    </x:row>
    <x:row r="88">
      <x:c r="A88" t="n">
        <x:f>'01 Sensory Input'!A88</x:f>
        <x:v>5</x:v>
      </x:c>
      <x:c r="B88" t="n">
        <x:f>'01 Sensory Input'!B88</x:f>
        <x:v>3</x:v>
      </x:c>
      <x:c r="C88" t="n">
        <x:f>IF(A88=A87,--(ABS('01 Sensory Input'!C88-'01 Sensory Input'!C87)&gt;=$B$3),0)</x:f>
        <x:v>0</x:v>
      </x:c>
      <x:c r="D88" t="n">
        <x:f>IF(A88=A87,--(ABS('01 Sensory Input'!D88-'01 Sensory Input'!D87)&gt;=$B$3),0)</x:f>
        <x:v>0</x:v>
      </x:c>
      <x:c r="E88" t="n">
        <x:f>IF(A88=A87,--(ABS('01 Sensory Input'!E88-'01 Sensory Input'!E87)&gt;=$B$3),0)</x:f>
        <x:v>0</x:v>
      </x:c>
      <x:c r="F88" t="n">
        <x:f>IF(A88=A87,--(ABS('01 Sensory Input'!F88-'01 Sensory Input'!F87)&gt;=$B$3),0)</x:f>
        <x:v>0</x:v>
      </x:c>
      <x:c r="G88" t="n">
        <x:f>IF(A88=A87,--(ABS('01 Sensory Input'!G88-'01 Sensory Input'!G87)&gt;=$B$3),0)</x:f>
        <x:v>0</x:v>
      </x:c>
      <x:c r="H88" t="n">
        <x:f>--(SUM(C88:G88)&gt;=2)</x:f>
        <x:v>0</x:v>
      </x:c>
    </x:row>
    <x:row r="89">
      <x:c r="A89" t="n">
        <x:f>'01 Sensory Input'!A89</x:f>
        <x:v>5</x:v>
      </x:c>
      <x:c r="B89" t="n">
        <x:f>'01 Sensory Input'!B89</x:f>
        <x:v>4</x:v>
      </x:c>
      <x:c r="C89" t="n">
        <x:f>IF(A89=A88,--(ABS('01 Sensory Input'!C89-'01 Sensory Input'!C88)&gt;=$B$3),0)</x:f>
        <x:v>0</x:v>
      </x:c>
      <x:c r="D89" t="n">
        <x:f>IF(A89=A88,--(ABS('01 Sensory Input'!D89-'01 Sensory Input'!D88)&gt;=$B$3),0)</x:f>
        <x:v>0</x:v>
      </x:c>
      <x:c r="E89" t="n">
        <x:f>IF(A89=A88,--(ABS('01 Sensory Input'!E89-'01 Sensory Input'!E88)&gt;=$B$3),0)</x:f>
        <x:v>0</x:v>
      </x:c>
      <x:c r="F89" t="n">
        <x:f>IF(A89=A88,--(ABS('01 Sensory Input'!F89-'01 Sensory Input'!F88)&gt;=$B$3),0)</x:f>
        <x:v>0</x:v>
      </x:c>
      <x:c r="G89" t="n">
        <x:f>IF(A89=A88,--(ABS('01 Sensory Input'!G89-'01 Sensory Input'!G88)&gt;=$B$3),0)</x:f>
        <x:v>0</x:v>
      </x:c>
      <x:c r="H89" t="n">
        <x:f>--(SUM(C89:G89)&gt;=2)</x:f>
        <x:v>0</x:v>
      </x:c>
    </x:row>
    <x:row r="90">
      <x:c r="A90" t="n">
        <x:f>'01 Sensory Input'!A90</x:f>
        <x:v>5</x:v>
      </x:c>
      <x:c r="B90" t="n">
        <x:f>'01 Sensory Input'!B90</x:f>
        <x:v>5</x:v>
      </x:c>
      <x:c r="C90" t="n">
        <x:f>IF(A90=A89,--(ABS('01 Sensory Input'!C90-'01 Sensory Input'!C89)&gt;=$B$3),0)</x:f>
        <x:v>0</x:v>
      </x:c>
      <x:c r="D90" t="n">
        <x:f>IF(A90=A89,--(ABS('01 Sensory Input'!D90-'01 Sensory Input'!D89)&gt;=$B$3),0)</x:f>
        <x:v>0</x:v>
      </x:c>
      <x:c r="E90" t="n">
        <x:f>IF(A90=A89,--(ABS('01 Sensory Input'!E90-'01 Sensory Input'!E89)&gt;=$B$3),0)</x:f>
        <x:v>0</x:v>
      </x:c>
      <x:c r="F90" t="n">
        <x:f>IF(A90=A89,--(ABS('01 Sensory Input'!F90-'01 Sensory Input'!F89)&gt;=$B$3),0)</x:f>
        <x:v>0</x:v>
      </x:c>
      <x:c r="G90" t="n">
        <x:f>IF(A90=A89,--(ABS('01 Sensory Input'!G90-'01 Sensory Input'!G89)&gt;=$B$3),0)</x:f>
        <x:v>0</x:v>
      </x:c>
      <x:c r="H90" t="n">
        <x:f>--(SUM(C90:G90)&gt;=2)</x:f>
        <x:v>0</x:v>
      </x:c>
    </x:row>
    <x:row r="91">
      <x:c r="A91" t="n">
        <x:f>'01 Sensory Input'!A91</x:f>
        <x:v>5</x:v>
      </x:c>
      <x:c r="B91" t="n">
        <x:f>'01 Sensory Input'!B91</x:f>
        <x:v>6</x:v>
      </x:c>
      <x:c r="C91" t="n">
        <x:f>IF(A91=A90,--(ABS('01 Sensory Input'!C91-'01 Sensory Input'!C90)&gt;=$B$3),0)</x:f>
        <x:v>0</x:v>
      </x:c>
      <x:c r="D91" t="n">
        <x:f>IF(A91=A90,--(ABS('01 Sensory Input'!D91-'01 Sensory Input'!D90)&gt;=$B$3),0)</x:f>
        <x:v>0</x:v>
      </x:c>
      <x:c r="E91" t="n">
        <x:f>IF(A91=A90,--(ABS('01 Sensory Input'!E91-'01 Sensory Input'!E90)&gt;=$B$3),0)</x:f>
        <x:v>0</x:v>
      </x:c>
      <x:c r="F91" t="n">
        <x:f>IF(A91=A90,--(ABS('01 Sensory Input'!F91-'01 Sensory Input'!F90)&gt;=$B$3),0)</x:f>
        <x:v>0</x:v>
      </x:c>
      <x:c r="G91" t="n">
        <x:f>IF(A91=A90,--(ABS('01 Sensory Input'!G91-'01 Sensory Input'!G90)&gt;=$B$3),0)</x:f>
        <x:v>0</x:v>
      </x:c>
      <x:c r="H91" t="n">
        <x:f>--(SUM(C91:G91)&gt;=2)</x:f>
        <x:v>0</x:v>
      </x:c>
    </x:row>
    <x:row r="92">
      <x:c r="A92" t="n">
        <x:f>'01 Sensory Input'!A92</x:f>
        <x:v>5</x:v>
      </x:c>
      <x:c r="B92" t="n">
        <x:f>'01 Sensory Input'!B92</x:f>
        <x:v>7</x:v>
      </x:c>
      <x:c r="C92" t="n">
        <x:f>IF(A92=A91,--(ABS('01 Sensory Input'!C92-'01 Sensory Input'!C91)&gt;=$B$3),0)</x:f>
        <x:v>0</x:v>
      </x:c>
      <x:c r="D92" t="n">
        <x:f>IF(A92=A91,--(ABS('01 Sensory Input'!D92-'01 Sensory Input'!D91)&gt;=$B$3),0)</x:f>
        <x:v>0</x:v>
      </x:c>
      <x:c r="E92" t="n">
        <x:f>IF(A92=A91,--(ABS('01 Sensory Input'!E92-'01 Sensory Input'!E91)&gt;=$B$3),0)</x:f>
        <x:v>0</x:v>
      </x:c>
      <x:c r="F92" t="n">
        <x:f>IF(A92=A91,--(ABS('01 Sensory Input'!F92-'01 Sensory Input'!F91)&gt;=$B$3),0)</x:f>
        <x:v>0</x:v>
      </x:c>
      <x:c r="G92" t="n">
        <x:f>IF(A92=A91,--(ABS('01 Sensory Input'!G92-'01 Sensory Input'!G91)&gt;=$B$3),0)</x:f>
        <x:v>0</x:v>
      </x:c>
      <x:c r="H92" t="n">
        <x:f>--(SUM(C92:G92)&gt;=2)</x:f>
        <x:v>0</x:v>
      </x:c>
    </x:row>
    <x:row r="93">
      <x:c r="A93" t="n">
        <x:f>'01 Sensory Input'!A93</x:f>
        <x:v>5</x:v>
      </x:c>
      <x:c r="B93" t="n">
        <x:f>'01 Sensory Input'!B93</x:f>
        <x:v>8</x:v>
      </x:c>
      <x:c r="C93" t="n">
        <x:f>IF(A93=A92,--(ABS('01 Sensory Input'!C93-'01 Sensory Input'!C92)&gt;=$B$3),0)</x:f>
        <x:v>0</x:v>
      </x:c>
      <x:c r="D93" t="n">
        <x:f>IF(A93=A92,--(ABS('01 Sensory Input'!D93-'01 Sensory Input'!D92)&gt;=$B$3),0)</x:f>
        <x:v>0</x:v>
      </x:c>
      <x:c r="E93" t="n">
        <x:f>IF(A93=A92,--(ABS('01 Sensory Input'!E93-'01 Sensory Input'!E92)&gt;=$B$3),0)</x:f>
        <x:v>0</x:v>
      </x:c>
      <x:c r="F93" t="n">
        <x:f>IF(A93=A92,--(ABS('01 Sensory Input'!F93-'01 Sensory Input'!F92)&gt;=$B$3),0)</x:f>
        <x:v>0</x:v>
      </x:c>
      <x:c r="G93" t="n">
        <x:f>IF(A93=A92,--(ABS('01 Sensory Input'!G93-'01 Sensory Input'!G92)&gt;=$B$3),0)</x:f>
        <x:v>0</x:v>
      </x:c>
      <x:c r="H93" t="n">
        <x:f>--(SUM(C93:G93)&gt;=2)</x:f>
        <x:v>0</x:v>
      </x:c>
    </x:row>
    <x:row r="94">
      <x:c r="A94" t="n">
        <x:f>'01 Sensory Input'!A94</x:f>
        <x:v>5</x:v>
      </x:c>
      <x:c r="B94" t="n">
        <x:f>'01 Sensory Input'!B94</x:f>
        <x:v>9</x:v>
      </x:c>
      <x:c r="C94" t="n">
        <x:f>IF(A94=A93,--(ABS('01 Sensory Input'!C94-'01 Sensory Input'!C93)&gt;=$B$3),0)</x:f>
        <x:v>0</x:v>
      </x:c>
      <x:c r="D94" t="n">
        <x:f>IF(A94=A93,--(ABS('01 Sensory Input'!D94-'01 Sensory Input'!D93)&gt;=$B$3),0)</x:f>
        <x:v>0</x:v>
      </x:c>
      <x:c r="E94" t="n">
        <x:f>IF(A94=A93,--(ABS('01 Sensory Input'!E94-'01 Sensory Input'!E93)&gt;=$B$3),0)</x:f>
        <x:v>0</x:v>
      </x:c>
      <x:c r="F94" t="n">
        <x:f>IF(A94=A93,--(ABS('01 Sensory Input'!F94-'01 Sensory Input'!F93)&gt;=$B$3),0)</x:f>
        <x:v>0</x:v>
      </x:c>
      <x:c r="G94" t="n">
        <x:f>IF(A94=A93,--(ABS('01 Sensory Input'!G94-'01 Sensory Input'!G93)&gt;=$B$3),0)</x:f>
        <x:v>0</x:v>
      </x:c>
      <x:c r="H94" t="n">
        <x:f>--(SUM(C94:G94)&gt;=2)</x:f>
        <x:v>0</x:v>
      </x:c>
    </x:row>
    <x:row r="95">
      <x:c r="A95" t="n">
        <x:f>'01 Sensory Input'!A95</x:f>
        <x:v>5</x:v>
      </x:c>
      <x:c r="B95" t="n">
        <x:f>'01 Sensory Input'!B95</x:f>
        <x:v>10</x:v>
      </x:c>
      <x:c r="C95" t="n">
        <x:f>IF(A95=A94,--(ABS('01 Sensory Input'!C95-'01 Sensory Input'!C94)&gt;=$B$3),0)</x:f>
        <x:v>1</x:v>
      </x:c>
      <x:c r="D95" t="n">
        <x:f>IF(A95=A94,--(ABS('01 Sensory Input'!D95-'01 Sensory Input'!D94)&gt;=$B$3),0)</x:f>
        <x:v>0</x:v>
      </x:c>
      <x:c r="E95" t="n">
        <x:f>IF(A95=A94,--(ABS('01 Sensory Input'!E95-'01 Sensory Input'!E94)&gt;=$B$3),0)</x:f>
        <x:v>0</x:v>
      </x:c>
      <x:c r="F95" t="n">
        <x:f>IF(A95=A94,--(ABS('01 Sensory Input'!F95-'01 Sensory Input'!F94)&gt;=$B$3),0)</x:f>
        <x:v>0</x:v>
      </x:c>
      <x:c r="G95" t="n">
        <x:f>IF(A95=A94,--(ABS('01 Sensory Input'!G95-'01 Sensory Input'!G94)&gt;=$B$3),0)</x:f>
        <x:v>0</x:v>
      </x:c>
      <x:c r="H95" t="n">
        <x:f>--(SUM(C95:G95)&gt;=2)</x:f>
        <x:v>0</x:v>
      </x:c>
    </x:row>
    <x:row r="96">
      <x:c r="A96" t="n">
        <x:f>'01 Sensory Input'!A96</x:f>
        <x:v>5</x:v>
      </x:c>
      <x:c r="B96" t="n">
        <x:f>'01 Sensory Input'!B96</x:f>
        <x:v>11</x:v>
      </x:c>
      <x:c r="C96" t="n">
        <x:f>IF(A96=A95,--(ABS('01 Sensory Input'!C96-'01 Sensory Input'!C95)&gt;=$B$3),0)</x:f>
        <x:v>1</x:v>
      </x:c>
      <x:c r="D96" t="n">
        <x:f>IF(A96=A95,--(ABS('01 Sensory Input'!D96-'01 Sensory Input'!D95)&gt;=$B$3),0)</x:f>
        <x:v>1</x:v>
      </x:c>
      <x:c r="E96" t="n">
        <x:f>IF(A96=A95,--(ABS('01 Sensory Input'!E96-'01 Sensory Input'!E95)&gt;=$B$3),0)</x:f>
        <x:v>0</x:v>
      </x:c>
      <x:c r="F96" t="n">
        <x:f>IF(A96=A95,--(ABS('01 Sensory Input'!F96-'01 Sensory Input'!F95)&gt;=$B$3),0)</x:f>
        <x:v>0</x:v>
      </x:c>
      <x:c r="G96" t="n">
        <x:f>IF(A96=A95,--(ABS('01 Sensory Input'!G96-'01 Sensory Input'!G95)&gt;=$B$3),0)</x:f>
        <x:v>0</x:v>
      </x:c>
      <x:c r="H96" t="n">
        <x:f>--(SUM(C96:G96)&gt;=2)</x:f>
        <x:v>1</x:v>
      </x:c>
    </x:row>
    <x:row r="97">
      <x:c r="A97" t="n">
        <x:f>'01 Sensory Input'!A97</x:f>
        <x:v>5</x:v>
      </x:c>
      <x:c r="B97" t="n">
        <x:f>'01 Sensory Input'!B97</x:f>
        <x:v>12</x:v>
      </x:c>
      <x:c r="C97" t="n">
        <x:f>IF(A97=A96,--(ABS('01 Sensory Input'!C97-'01 Sensory Input'!C96)&gt;=$B$3),0)</x:f>
        <x:v>0</x:v>
      </x:c>
      <x:c r="D97" t="n">
        <x:f>IF(A97=A96,--(ABS('01 Sensory Input'!D97-'01 Sensory Input'!D96)&gt;=$B$3),0)</x:f>
        <x:v>0</x:v>
      </x:c>
      <x:c r="E97" t="n">
        <x:f>IF(A97=A96,--(ABS('01 Sensory Input'!E97-'01 Sensory Input'!E96)&gt;=$B$3),0)</x:f>
        <x:v>0</x:v>
      </x:c>
      <x:c r="F97" t="n">
        <x:f>IF(A97=A96,--(ABS('01 Sensory Input'!F97-'01 Sensory Input'!F96)&gt;=$B$3),0)</x:f>
        <x:v>0</x:v>
      </x:c>
      <x:c r="G97" t="n">
        <x:f>IF(A97=A96,--(ABS('01 Sensory Input'!G97-'01 Sensory Input'!G96)&gt;=$B$3),0)</x:f>
        <x:v>0</x:v>
      </x:c>
      <x:c r="H97" t="n">
        <x:f>--(SUM(C97:G97)&gt;=2)</x:f>
        <x:v>0</x:v>
      </x:c>
    </x:row>
    <x:row r="98">
      <x:c r="A98" t="n">
        <x:f>'01 Sensory Input'!A98</x:f>
        <x:v>5</x:v>
      </x:c>
      <x:c r="B98" t="n">
        <x:f>'01 Sensory Input'!B98</x:f>
        <x:v>13</x:v>
      </x:c>
      <x:c r="C98" t="n">
        <x:f>IF(A98=A97,--(ABS('01 Sensory Input'!C98-'01 Sensory Input'!C97)&gt;=$B$3),0)</x:f>
        <x:v>0</x:v>
      </x:c>
      <x:c r="D98" t="n">
        <x:f>IF(A98=A97,--(ABS('01 Sensory Input'!D98-'01 Sensory Input'!D97)&gt;=$B$3),0)</x:f>
        <x:v>0</x:v>
      </x:c>
      <x:c r="E98" t="n">
        <x:f>IF(A98=A97,--(ABS('01 Sensory Input'!E98-'01 Sensory Input'!E97)&gt;=$B$3),0)</x:f>
        <x:v>0</x:v>
      </x:c>
      <x:c r="F98" t="n">
        <x:f>IF(A98=A97,--(ABS('01 Sensory Input'!F98-'01 Sensory Input'!F97)&gt;=$B$3),0)</x:f>
        <x:v>0</x:v>
      </x:c>
      <x:c r="G98" t="n">
        <x:f>IF(A98=A97,--(ABS('01 Sensory Input'!G98-'01 Sensory Input'!G97)&gt;=$B$3),0)</x:f>
        <x:v>0</x:v>
      </x:c>
      <x:c r="H98" t="n">
        <x:f>--(SUM(C98:G98)&gt;=2)</x:f>
        <x:v>0</x:v>
      </x:c>
    </x:row>
    <x:row r="99">
      <x:c r="A99" t="n">
        <x:f>'01 Sensory Input'!A99</x:f>
        <x:v>5</x:v>
      </x:c>
      <x:c r="B99" t="n">
        <x:f>'01 Sensory Input'!B99</x:f>
        <x:v>14</x:v>
      </x:c>
      <x:c r="C99" t="n">
        <x:f>IF(A99=A98,--(ABS('01 Sensory Input'!C99-'01 Sensory Input'!C98)&gt;=$B$3),0)</x:f>
        <x:v>0</x:v>
      </x:c>
      <x:c r="D99" t="n">
        <x:f>IF(A99=A98,--(ABS('01 Sensory Input'!D99-'01 Sensory Input'!D98)&gt;=$B$3),0)</x:f>
        <x:v>0</x:v>
      </x:c>
      <x:c r="E99" t="n">
        <x:f>IF(A99=A98,--(ABS('01 Sensory Input'!E99-'01 Sensory Input'!E98)&gt;=$B$3),0)</x:f>
        <x:v>0</x:v>
      </x:c>
      <x:c r="F99" t="n">
        <x:f>IF(A99=A98,--(ABS('01 Sensory Input'!F99-'01 Sensory Input'!F98)&gt;=$B$3),0)</x:f>
        <x:v>0</x:v>
      </x:c>
      <x:c r="G99" t="n">
        <x:f>IF(A99=A98,--(ABS('01 Sensory Input'!G99-'01 Sensory Input'!G98)&gt;=$B$3),0)</x:f>
        <x:v>0</x:v>
      </x:c>
      <x:c r="H99" t="n">
        <x:f>--(SUM(C99:G99)&gt;=2)</x:f>
        <x:v>0</x:v>
      </x:c>
    </x:row>
    <x:row r="100">
      <x:c r="A100" t="n">
        <x:f>'01 Sensory Input'!A100</x:f>
        <x:v>5</x:v>
      </x:c>
      <x:c r="B100" t="n">
        <x:f>'01 Sensory Input'!B100</x:f>
        <x:v>15</x:v>
      </x:c>
      <x:c r="C100" t="n">
        <x:f>IF(A100=A99,--(ABS('01 Sensory Input'!C100-'01 Sensory Input'!C99)&gt;=$B$3),0)</x:f>
        <x:v>0</x:v>
      </x:c>
      <x:c r="D100" t="n">
        <x:f>IF(A100=A99,--(ABS('01 Sensory Input'!D100-'01 Sensory Input'!D99)&gt;=$B$3),0)</x:f>
        <x:v>0</x:v>
      </x:c>
      <x:c r="E100" t="n">
        <x:f>IF(A100=A99,--(ABS('01 Sensory Input'!E100-'01 Sensory Input'!E99)&gt;=$B$3),0)</x:f>
        <x:v>0</x:v>
      </x:c>
      <x:c r="F100" t="n">
        <x:f>IF(A100=A99,--(ABS('01 Sensory Input'!F100-'01 Sensory Input'!F99)&gt;=$B$3),0)</x:f>
        <x:v>0</x:v>
      </x:c>
      <x:c r="G100" t="n">
        <x:f>IF(A100=A99,--(ABS('01 Sensory Input'!G100-'01 Sensory Input'!G99)&gt;=$B$3),0)</x:f>
        <x:v>0</x:v>
      </x:c>
      <x:c r="H100" t="n">
        <x:f>--(SUM(C100:G100)&gt;=2)</x:f>
        <x:v>0</x:v>
      </x:c>
    </x:row>
    <x:row r="101">
      <x:c r="A101" t="n">
        <x:f>'01 Sensory Input'!A101</x:f>
        <x:v>5</x:v>
      </x:c>
      <x:c r="B101" t="n">
        <x:f>'01 Sensory Input'!B101</x:f>
        <x:v>16</x:v>
      </x:c>
      <x:c r="C101" t="n">
        <x:f>IF(A101=A100,--(ABS('01 Sensory Input'!C101-'01 Sensory Input'!C100)&gt;=$B$3),0)</x:f>
        <x:v>0</x:v>
      </x:c>
      <x:c r="D101" t="n">
        <x:f>IF(A101=A100,--(ABS('01 Sensory Input'!D101-'01 Sensory Input'!D100)&gt;=$B$3),0)</x:f>
        <x:v>0</x:v>
      </x:c>
      <x:c r="E101" t="n">
        <x:f>IF(A101=A100,--(ABS('01 Sensory Input'!E101-'01 Sensory Input'!E100)&gt;=$B$3),0)</x:f>
        <x:v>0</x:v>
      </x:c>
      <x:c r="F101" t="n">
        <x:f>IF(A101=A100,--(ABS('01 Sensory Input'!F101-'01 Sensory Input'!F100)&gt;=$B$3),0)</x:f>
        <x:v>0</x:v>
      </x:c>
      <x:c r="G101" t="n">
        <x:f>IF(A101=A100,--(ABS('01 Sensory Input'!G101-'01 Sensory Input'!G100)&gt;=$B$3),0)</x:f>
        <x:v>0</x:v>
      </x:c>
      <x:c r="H101" t="n">
        <x:f>--(SUM(C101:G101)&gt;=2)</x:f>
        <x:v>0</x:v>
      </x:c>
    </x:row>
    <x:row r="102">
      <x:c r="A102" t="n">
        <x:f>'01 Sensory Input'!A102</x:f>
        <x:v>5</x:v>
      </x:c>
      <x:c r="B102" t="n">
        <x:f>'01 Sensory Input'!B102</x:f>
        <x:v>17</x:v>
      </x:c>
      <x:c r="C102" t="n">
        <x:f>IF(A102=A101,--(ABS('01 Sensory Input'!C102-'01 Sensory Input'!C101)&gt;=$B$3),0)</x:f>
        <x:v>0</x:v>
      </x:c>
      <x:c r="D102" t="n">
        <x:f>IF(A102=A101,--(ABS('01 Sensory Input'!D102-'01 Sensory Input'!D101)&gt;=$B$3),0)</x:f>
        <x:v>0</x:v>
      </x:c>
      <x:c r="E102" t="n">
        <x:f>IF(A102=A101,--(ABS('01 Sensory Input'!E102-'01 Sensory Input'!E101)&gt;=$B$3),0)</x:f>
        <x:v>0</x:v>
      </x:c>
      <x:c r="F102" t="n">
        <x:f>IF(A102=A101,--(ABS('01 Sensory Input'!F102-'01 Sensory Input'!F101)&gt;=$B$3),0)</x:f>
        <x:v>0</x:v>
      </x:c>
      <x:c r="G102" t="n">
        <x:f>IF(A102=A101,--(ABS('01 Sensory Input'!G102-'01 Sensory Input'!G101)&gt;=$B$3),0)</x:f>
        <x:v>0</x:v>
      </x:c>
      <x:c r="H102" t="n">
        <x:f>--(SUM(C102:G102)&gt;=2)</x:f>
        <x:v>0</x:v>
      </x:c>
    </x:row>
    <x:row r="103">
      <x:c r="A103" t="n">
        <x:f>'01 Sensory Input'!A103</x:f>
        <x:v>5</x:v>
      </x:c>
      <x:c r="B103" t="n">
        <x:f>'01 Sensory Input'!B103</x:f>
        <x:v>18</x:v>
      </x:c>
      <x:c r="C103" t="n">
        <x:f>IF(A103=A102,--(ABS('01 Sensory Input'!C103-'01 Sensory Input'!C102)&gt;=$B$3),0)</x:f>
        <x:v>0</x:v>
      </x:c>
      <x:c r="D103" t="n">
        <x:f>IF(A103=A102,--(ABS('01 Sensory Input'!D103-'01 Sensory Input'!D102)&gt;=$B$3),0)</x:f>
        <x:v>0</x:v>
      </x:c>
      <x:c r="E103" t="n">
        <x:f>IF(A103=A102,--(ABS('01 Sensory Input'!E103-'01 Sensory Input'!E102)&gt;=$B$3),0)</x:f>
        <x:v>0</x:v>
      </x:c>
      <x:c r="F103" t="n">
        <x:f>IF(A103=A102,--(ABS('01 Sensory Input'!F103-'01 Sensory Input'!F102)&gt;=$B$3),0)</x:f>
        <x:v>0</x:v>
      </x:c>
      <x:c r="G103" t="n">
        <x:f>IF(A103=A102,--(ABS('01 Sensory Input'!G103-'01 Sensory Input'!G102)&gt;=$B$3),0)</x:f>
        <x:v>0</x:v>
      </x:c>
      <x:c r="H103" t="n">
        <x:f>--(SUM(C103:G103)&gt;=2)</x:f>
        <x:v>0</x:v>
      </x:c>
    </x:row>
    <x:row r="104">
      <x:c r="A104" t="n">
        <x:f>'01 Sensory Input'!A104</x:f>
        <x:v>5</x:v>
      </x:c>
      <x:c r="B104" t="n">
        <x:f>'01 Sensory Input'!B104</x:f>
        <x:v>19</x:v>
      </x:c>
      <x:c r="C104" t="n">
        <x:f>IF(A104=A103,--(ABS('01 Sensory Input'!C104-'01 Sensory Input'!C103)&gt;=$B$3),0)</x:f>
        <x:v>0</x:v>
      </x:c>
      <x:c r="D104" t="n">
        <x:f>IF(A104=A103,--(ABS('01 Sensory Input'!D104-'01 Sensory Input'!D103)&gt;=$B$3),0)</x:f>
        <x:v>0</x:v>
      </x:c>
      <x:c r="E104" t="n">
        <x:f>IF(A104=A103,--(ABS('01 Sensory Input'!E104-'01 Sensory Input'!E103)&gt;=$B$3),0)</x:f>
        <x:v>0</x:v>
      </x:c>
      <x:c r="F104" t="n">
        <x:f>IF(A104=A103,--(ABS('01 Sensory Input'!F104-'01 Sensory Input'!F103)&gt;=$B$3),0)</x:f>
        <x:v>0</x:v>
      </x:c>
      <x:c r="G104" t="n">
        <x:f>IF(A104=A103,--(ABS('01 Sensory Input'!G104-'01 Sensory Input'!G103)&gt;=$B$3),0)</x:f>
        <x:v>0</x:v>
      </x:c>
      <x:c r="H104" t="n">
        <x:f>--(SUM(C104:G104)&gt;=2)</x:f>
        <x:v>0</x:v>
      </x:c>
    </x:row>
    <x:row r="105">
      <x:c r="A105" t="n">
        <x:f>'01 Sensory Input'!A105</x:f>
        <x:v>5</x:v>
      </x:c>
      <x:c r="B105" t="n">
        <x:f>'01 Sensory Input'!B105</x:f>
        <x:v>20</x:v>
      </x:c>
      <x:c r="C105" t="n">
        <x:f>IF(A105=A104,--(ABS('01 Sensory Input'!C105-'01 Sensory Input'!C104)&gt;=$B$3),0)</x:f>
        <x:v>0</x:v>
      </x:c>
      <x:c r="D105" t="n">
        <x:f>IF(A105=A104,--(ABS('01 Sensory Input'!D105-'01 Sensory Input'!D104)&gt;=$B$3),0)</x:f>
        <x:v>0</x:v>
      </x:c>
      <x:c r="E105" t="n">
        <x:f>IF(A105=A104,--(ABS('01 Sensory Input'!E105-'01 Sensory Input'!E104)&gt;=$B$3),0)</x:f>
        <x:v>0</x:v>
      </x:c>
      <x:c r="F105" t="n">
        <x:f>IF(A105=A104,--(ABS('01 Sensory Input'!F105-'01 Sensory Input'!F104)&gt;=$B$3),0)</x:f>
        <x:v>0</x:v>
      </x:c>
      <x:c r="G105" t="n">
        <x:f>IF(A105=A104,--(ABS('01 Sensory Input'!G105-'01 Sensory Input'!G104)&gt;=$B$3),0)</x:f>
        <x:v>0</x:v>
      </x:c>
      <x:c r="H105" t="n">
        <x:f>--(SUM(C105:G105)&gt;=2)</x:f>
        <x:v>0</x:v>
      </x:c>
    </x:row>
    <x:row r="106">
      <x:c r="A106" t="n">
        <x:f>'01 Sensory Input'!A106</x:f>
        <x:v>6</x:v>
      </x:c>
      <x:c r="B106" t="n">
        <x:f>'01 Sensory Input'!B106</x:f>
        <x:v>1</x:v>
      </x:c>
      <x:c r="C106" t="n">
        <x:f>IF(A106=A105,--(ABS('01 Sensory Input'!C106-'01 Sensory Input'!C105)&gt;=$B$3),0)</x:f>
        <x:v>0</x:v>
      </x:c>
      <x:c r="D106" t="n">
        <x:f>IF(A106=A105,--(ABS('01 Sensory Input'!D106-'01 Sensory Input'!D105)&gt;=$B$3),0)</x:f>
        <x:v>0</x:v>
      </x:c>
      <x:c r="E106" t="n">
        <x:f>IF(A106=A105,--(ABS('01 Sensory Input'!E106-'01 Sensory Input'!E105)&gt;=$B$3),0)</x:f>
        <x:v>0</x:v>
      </x:c>
      <x:c r="F106" t="n">
        <x:f>IF(A106=A105,--(ABS('01 Sensory Input'!F106-'01 Sensory Input'!F105)&gt;=$B$3),0)</x:f>
        <x:v>0</x:v>
      </x:c>
      <x:c r="G106" t="n">
        <x:f>IF(A106=A105,--(ABS('01 Sensory Input'!G106-'01 Sensory Input'!G105)&gt;=$B$3),0)</x:f>
        <x:v>0</x:v>
      </x:c>
      <x:c r="H106" t="n">
        <x:f>--(SUM(C106:G106)&gt;=2)</x:f>
        <x:v>0</x:v>
      </x:c>
    </x:row>
    <x:row r="107">
      <x:c r="A107" t="n">
        <x:f>'01 Sensory Input'!A107</x:f>
        <x:v>6</x:v>
      </x:c>
      <x:c r="B107" t="n">
        <x:f>'01 Sensory Input'!B107</x:f>
        <x:v>2</x:v>
      </x:c>
      <x:c r="C107" t="n">
        <x:f>IF(A107=A106,--(ABS('01 Sensory Input'!C107-'01 Sensory Input'!C106)&gt;=$B$3),0)</x:f>
        <x:v>0</x:v>
      </x:c>
      <x:c r="D107" t="n">
        <x:f>IF(A107=A106,--(ABS('01 Sensory Input'!D107-'01 Sensory Input'!D106)&gt;=$B$3),0)</x:f>
        <x:v>0</x:v>
      </x:c>
      <x:c r="E107" t="n">
        <x:f>IF(A107=A106,--(ABS('01 Sensory Input'!E107-'01 Sensory Input'!E106)&gt;=$B$3),0)</x:f>
        <x:v>0</x:v>
      </x:c>
      <x:c r="F107" t="n">
        <x:f>IF(A107=A106,--(ABS('01 Sensory Input'!F107-'01 Sensory Input'!F106)&gt;=$B$3),0)</x:f>
        <x:v>0</x:v>
      </x:c>
      <x:c r="G107" t="n">
        <x:f>IF(A107=A106,--(ABS('01 Sensory Input'!G107-'01 Sensory Input'!G106)&gt;=$B$3),0)</x:f>
        <x:v>0</x:v>
      </x:c>
      <x:c r="H107" t="n">
        <x:f>--(SUM(C107:G107)&gt;=2)</x:f>
        <x:v>0</x:v>
      </x:c>
    </x:row>
    <x:row r="108">
      <x:c r="A108" t="n">
        <x:f>'01 Sensory Input'!A108</x:f>
        <x:v>6</x:v>
      </x:c>
      <x:c r="B108" t="n">
        <x:f>'01 Sensory Input'!B108</x:f>
        <x:v>3</x:v>
      </x:c>
      <x:c r="C108" t="n">
        <x:f>IF(A108=A107,--(ABS('01 Sensory Input'!C108-'01 Sensory Input'!C107)&gt;=$B$3),0)</x:f>
        <x:v>0</x:v>
      </x:c>
      <x:c r="D108" t="n">
        <x:f>IF(A108=A107,--(ABS('01 Sensory Input'!D108-'01 Sensory Input'!D107)&gt;=$B$3),0)</x:f>
        <x:v>0</x:v>
      </x:c>
      <x:c r="E108" t="n">
        <x:f>IF(A108=A107,--(ABS('01 Sensory Input'!E108-'01 Sensory Input'!E107)&gt;=$B$3),0)</x:f>
        <x:v>0</x:v>
      </x:c>
      <x:c r="F108" t="n">
        <x:f>IF(A108=A107,--(ABS('01 Sensory Input'!F108-'01 Sensory Input'!F107)&gt;=$B$3),0)</x:f>
        <x:v>0</x:v>
      </x:c>
      <x:c r="G108" t="n">
        <x:f>IF(A108=A107,--(ABS('01 Sensory Input'!G108-'01 Sensory Input'!G107)&gt;=$B$3),0)</x:f>
        <x:v>0</x:v>
      </x:c>
      <x:c r="H108" t="n">
        <x:f>--(SUM(C108:G108)&gt;=2)</x:f>
        <x:v>0</x:v>
      </x:c>
    </x:row>
    <x:row r="109">
      <x:c r="A109" t="n">
        <x:f>'01 Sensory Input'!A109</x:f>
        <x:v>6</x:v>
      </x:c>
      <x:c r="B109" t="n">
        <x:f>'01 Sensory Input'!B109</x:f>
        <x:v>4</x:v>
      </x:c>
      <x:c r="C109" t="n">
        <x:f>IF(A109=A108,--(ABS('01 Sensory Input'!C109-'01 Sensory Input'!C108)&gt;=$B$3),0)</x:f>
        <x:v>0</x:v>
      </x:c>
      <x:c r="D109" t="n">
        <x:f>IF(A109=A108,--(ABS('01 Sensory Input'!D109-'01 Sensory Input'!D108)&gt;=$B$3),0)</x:f>
        <x:v>0</x:v>
      </x:c>
      <x:c r="E109" t="n">
        <x:f>IF(A109=A108,--(ABS('01 Sensory Input'!E109-'01 Sensory Input'!E108)&gt;=$B$3),0)</x:f>
        <x:v>0</x:v>
      </x:c>
      <x:c r="F109" t="n">
        <x:f>IF(A109=A108,--(ABS('01 Sensory Input'!F109-'01 Sensory Input'!F108)&gt;=$B$3),0)</x:f>
        <x:v>0</x:v>
      </x:c>
      <x:c r="G109" t="n">
        <x:f>IF(A109=A108,--(ABS('01 Sensory Input'!G109-'01 Sensory Input'!G108)&gt;=$B$3),0)</x:f>
        <x:v>0</x:v>
      </x:c>
      <x:c r="H109" t="n">
        <x:f>--(SUM(C109:G109)&gt;=2)</x:f>
        <x:v>0</x:v>
      </x:c>
    </x:row>
    <x:row r="110">
      <x:c r="A110" t="n">
        <x:f>'01 Sensory Input'!A110</x:f>
        <x:v>6</x:v>
      </x:c>
      <x:c r="B110" t="n">
        <x:f>'01 Sensory Input'!B110</x:f>
        <x:v>5</x:v>
      </x:c>
      <x:c r="C110" t="n">
        <x:f>IF(A110=A109,--(ABS('01 Sensory Input'!C110-'01 Sensory Input'!C109)&gt;=$B$3),0)</x:f>
        <x:v>0</x:v>
      </x:c>
      <x:c r="D110" t="n">
        <x:f>IF(A110=A109,--(ABS('01 Sensory Input'!D110-'01 Sensory Input'!D109)&gt;=$B$3),0)</x:f>
        <x:v>0</x:v>
      </x:c>
      <x:c r="E110" t="n">
        <x:f>IF(A110=A109,--(ABS('01 Sensory Input'!E110-'01 Sensory Input'!E109)&gt;=$B$3),0)</x:f>
        <x:v>0</x:v>
      </x:c>
      <x:c r="F110" t="n">
        <x:f>IF(A110=A109,--(ABS('01 Sensory Input'!F110-'01 Sensory Input'!F109)&gt;=$B$3),0)</x:f>
        <x:v>0</x:v>
      </x:c>
      <x:c r="G110" t="n">
        <x:f>IF(A110=A109,--(ABS('01 Sensory Input'!G110-'01 Sensory Input'!G109)&gt;=$B$3),0)</x:f>
        <x:v>0</x:v>
      </x:c>
      <x:c r="H110" t="n">
        <x:f>--(SUM(C110:G110)&gt;=2)</x:f>
        <x:v>0</x:v>
      </x:c>
    </x:row>
    <x:row r="111">
      <x:c r="A111" t="n">
        <x:f>'01 Sensory Input'!A111</x:f>
        <x:v>6</x:v>
      </x:c>
      <x:c r="B111" t="n">
        <x:f>'01 Sensory Input'!B111</x:f>
        <x:v>6</x:v>
      </x:c>
      <x:c r="C111" t="n">
        <x:f>IF(A111=A110,--(ABS('01 Sensory Input'!C111-'01 Sensory Input'!C110)&gt;=$B$3),0)</x:f>
        <x:v>0</x:v>
      </x:c>
      <x:c r="D111" t="n">
        <x:f>IF(A111=A110,--(ABS('01 Sensory Input'!D111-'01 Sensory Input'!D110)&gt;=$B$3),0)</x:f>
        <x:v>1</x:v>
      </x:c>
      <x:c r="E111" t="n">
        <x:f>IF(A111=A110,--(ABS('01 Sensory Input'!E111-'01 Sensory Input'!E110)&gt;=$B$3),0)</x:f>
        <x:v>0</x:v>
      </x:c>
      <x:c r="F111" t="n">
        <x:f>IF(A111=A110,--(ABS('01 Sensory Input'!F111-'01 Sensory Input'!F110)&gt;=$B$3),0)</x:f>
        <x:v>0</x:v>
      </x:c>
      <x:c r="G111" t="n">
        <x:f>IF(A111=A110,--(ABS('01 Sensory Input'!G111-'01 Sensory Input'!G110)&gt;=$B$3),0)</x:f>
        <x:v>0</x:v>
      </x:c>
      <x:c r="H111" t="n">
        <x:f>--(SUM(C111:G111)&gt;=2)</x:f>
        <x:v>0</x:v>
      </x:c>
    </x:row>
    <x:row r="112">
      <x:c r="A112" t="n">
        <x:f>'01 Sensory Input'!A112</x:f>
        <x:v>6</x:v>
      </x:c>
      <x:c r="B112" t="n">
        <x:f>'01 Sensory Input'!B112</x:f>
        <x:v>7</x:v>
      </x:c>
      <x:c r="C112" t="n">
        <x:f>IF(A112=A111,--(ABS('01 Sensory Input'!C112-'01 Sensory Input'!C111)&gt;=$B$3),0)</x:f>
        <x:v>0</x:v>
      </x:c>
      <x:c r="D112" t="n">
        <x:f>IF(A112=A111,--(ABS('01 Sensory Input'!D112-'01 Sensory Input'!D111)&gt;=$B$3),0)</x:f>
        <x:v>0</x:v>
      </x:c>
      <x:c r="E112" t="n">
        <x:f>IF(A112=A111,--(ABS('01 Sensory Input'!E112-'01 Sensory Input'!E111)&gt;=$B$3),0)</x:f>
        <x:v>0</x:v>
      </x:c>
      <x:c r="F112" t="n">
        <x:f>IF(A112=A111,--(ABS('01 Sensory Input'!F112-'01 Sensory Input'!F111)&gt;=$B$3),0)</x:f>
        <x:v>0</x:v>
      </x:c>
      <x:c r="G112" t="n">
        <x:f>IF(A112=A111,--(ABS('01 Sensory Input'!G112-'01 Sensory Input'!G111)&gt;=$B$3),0)</x:f>
        <x:v>0</x:v>
      </x:c>
      <x:c r="H112" t="n">
        <x:f>--(SUM(C112:G112)&gt;=2)</x:f>
        <x:v>0</x:v>
      </x:c>
    </x:row>
    <x:row r="113">
      <x:c r="A113" t="n">
        <x:f>'01 Sensory Input'!A113</x:f>
        <x:v>6</x:v>
      </x:c>
      <x:c r="B113" t="n">
        <x:f>'01 Sensory Input'!B113</x:f>
        <x:v>8</x:v>
      </x:c>
      <x:c r="C113" t="n">
        <x:f>IF(A113=A112,--(ABS('01 Sensory Input'!C113-'01 Sensory Input'!C112)&gt;=$B$3),0)</x:f>
        <x:v>0</x:v>
      </x:c>
      <x:c r="D113" t="n">
        <x:f>IF(A113=A112,--(ABS('01 Sensory Input'!D113-'01 Sensory Input'!D112)&gt;=$B$3),0)</x:f>
        <x:v>0</x:v>
      </x:c>
      <x:c r="E113" t="n">
        <x:f>IF(A113=A112,--(ABS('01 Sensory Input'!E113-'01 Sensory Input'!E112)&gt;=$B$3),0)</x:f>
        <x:v>0</x:v>
      </x:c>
      <x:c r="F113" t="n">
        <x:f>IF(A113=A112,--(ABS('01 Sensory Input'!F113-'01 Sensory Input'!F112)&gt;=$B$3),0)</x:f>
        <x:v>0</x:v>
      </x:c>
      <x:c r="G113" t="n">
        <x:f>IF(A113=A112,--(ABS('01 Sensory Input'!G113-'01 Sensory Input'!G112)&gt;=$B$3),0)</x:f>
        <x:v>0</x:v>
      </x:c>
      <x:c r="H113" t="n">
        <x:f>--(SUM(C113:G113)&gt;=2)</x:f>
        <x:v>0</x:v>
      </x:c>
    </x:row>
    <x:row r="114">
      <x:c r="A114" t="n">
        <x:f>'01 Sensory Input'!A114</x:f>
        <x:v>6</x:v>
      </x:c>
      <x:c r="B114" t="n">
        <x:f>'01 Sensory Input'!B114</x:f>
        <x:v>9</x:v>
      </x:c>
      <x:c r="C114" t="n">
        <x:f>IF(A114=A113,--(ABS('01 Sensory Input'!C114-'01 Sensory Input'!C113)&gt;=$B$3),0)</x:f>
        <x:v>0</x:v>
      </x:c>
      <x:c r="D114" t="n">
        <x:f>IF(A114=A113,--(ABS('01 Sensory Input'!D114-'01 Sensory Input'!D113)&gt;=$B$3),0)</x:f>
        <x:v>0</x:v>
      </x:c>
      <x:c r="E114" t="n">
        <x:f>IF(A114=A113,--(ABS('01 Sensory Input'!E114-'01 Sensory Input'!E113)&gt;=$B$3),0)</x:f>
        <x:v>0</x:v>
      </x:c>
      <x:c r="F114" t="n">
        <x:f>IF(A114=A113,--(ABS('01 Sensory Input'!F114-'01 Sensory Input'!F113)&gt;=$B$3),0)</x:f>
        <x:v>1</x:v>
      </x:c>
      <x:c r="G114" t="n">
        <x:f>IF(A114=A113,--(ABS('01 Sensory Input'!G114-'01 Sensory Input'!G113)&gt;=$B$3),0)</x:f>
        <x:v>0</x:v>
      </x:c>
      <x:c r="H114" t="n">
        <x:f>--(SUM(C114:G114)&gt;=2)</x:f>
        <x:v>0</x:v>
      </x:c>
    </x:row>
    <x:row r="115">
      <x:c r="A115" t="n">
        <x:f>'01 Sensory Input'!A115</x:f>
        <x:v>6</x:v>
      </x:c>
      <x:c r="B115" t="n">
        <x:f>'01 Sensory Input'!B115</x:f>
        <x:v>10</x:v>
      </x:c>
      <x:c r="C115" t="n">
        <x:f>IF(A115=A114,--(ABS('01 Sensory Input'!C115-'01 Sensory Input'!C114)&gt;=$B$3),0)</x:f>
        <x:v>0</x:v>
      </x:c>
      <x:c r="D115" t="n">
        <x:f>IF(A115=A114,--(ABS('01 Sensory Input'!D115-'01 Sensory Input'!D114)&gt;=$B$3),0)</x:f>
        <x:v>0</x:v>
      </x:c>
      <x:c r="E115" t="n">
        <x:f>IF(A115=A114,--(ABS('01 Sensory Input'!E115-'01 Sensory Input'!E114)&gt;=$B$3),0)</x:f>
        <x:v>0</x:v>
      </x:c>
      <x:c r="F115" t="n">
        <x:f>IF(A115=A114,--(ABS('01 Sensory Input'!F115-'01 Sensory Input'!F114)&gt;=$B$3),0)</x:f>
        <x:v>1</x:v>
      </x:c>
      <x:c r="G115" t="n">
        <x:f>IF(A115=A114,--(ABS('01 Sensory Input'!G115-'01 Sensory Input'!G114)&gt;=$B$3),0)</x:f>
        <x:v>1</x:v>
      </x:c>
      <x:c r="H115" t="n">
        <x:f>--(SUM(C115:G115)&gt;=2)</x:f>
        <x:v>1</x:v>
      </x:c>
    </x:row>
    <x:row r="116">
      <x:c r="A116" t="n">
        <x:f>'01 Sensory Input'!A116</x:f>
        <x:v>6</x:v>
      </x:c>
      <x:c r="B116" t="n">
        <x:f>'01 Sensory Input'!B116</x:f>
        <x:v>11</x:v>
      </x:c>
      <x:c r="C116" t="n">
        <x:f>IF(A116=A115,--(ABS('01 Sensory Input'!C116-'01 Sensory Input'!C115)&gt;=$B$3),0)</x:f>
        <x:v>0</x:v>
      </x:c>
      <x:c r="D116" t="n">
        <x:f>IF(A116=A115,--(ABS('01 Sensory Input'!D116-'01 Sensory Input'!D115)&gt;=$B$3),0)</x:f>
        <x:v>0</x:v>
      </x:c>
      <x:c r="E116" t="n">
        <x:f>IF(A116=A115,--(ABS('01 Sensory Input'!E116-'01 Sensory Input'!E115)&gt;=$B$3),0)</x:f>
        <x:v>0</x:v>
      </x:c>
      <x:c r="F116" t="n">
        <x:f>IF(A116=A115,--(ABS('01 Sensory Input'!F116-'01 Sensory Input'!F115)&gt;=$B$3),0)</x:f>
        <x:v>0</x:v>
      </x:c>
      <x:c r="G116" t="n">
        <x:f>IF(A116=A115,--(ABS('01 Sensory Input'!G116-'01 Sensory Input'!G115)&gt;=$B$3),0)</x:f>
        <x:v>0</x:v>
      </x:c>
      <x:c r="H116" t="n">
        <x:f>--(SUM(C116:G116)&gt;=2)</x:f>
        <x:v>0</x:v>
      </x:c>
    </x:row>
    <x:row r="117">
      <x:c r="A117" t="n">
        <x:f>'01 Sensory Input'!A117</x:f>
        <x:v>6</x:v>
      </x:c>
      <x:c r="B117" t="n">
        <x:f>'01 Sensory Input'!B117</x:f>
        <x:v>12</x:v>
      </x:c>
      <x:c r="C117" t="n">
        <x:f>IF(A117=A116,--(ABS('01 Sensory Input'!C117-'01 Sensory Input'!C116)&gt;=$B$3),0)</x:f>
        <x:v>0</x:v>
      </x:c>
      <x:c r="D117" t="n">
        <x:f>IF(A117=A116,--(ABS('01 Sensory Input'!D117-'01 Sensory Input'!D116)&gt;=$B$3),0)</x:f>
        <x:v>0</x:v>
      </x:c>
      <x:c r="E117" t="n">
        <x:f>IF(A117=A116,--(ABS('01 Sensory Input'!E117-'01 Sensory Input'!E116)&gt;=$B$3),0)</x:f>
        <x:v>0</x:v>
      </x:c>
      <x:c r="F117" t="n">
        <x:f>IF(A117=A116,--(ABS('01 Sensory Input'!F117-'01 Sensory Input'!F116)&gt;=$B$3),0)</x:f>
        <x:v>0</x:v>
      </x:c>
      <x:c r="G117" t="n">
        <x:f>IF(A117=A116,--(ABS('01 Sensory Input'!G117-'01 Sensory Input'!G116)&gt;=$B$3),0)</x:f>
        <x:v>0</x:v>
      </x:c>
      <x:c r="H117" t="n">
        <x:f>--(SUM(C117:G117)&gt;=2)</x:f>
        <x:v>0</x:v>
      </x:c>
    </x:row>
    <x:row r="118">
      <x:c r="A118" t="n">
        <x:f>'01 Sensory Input'!A118</x:f>
        <x:v>6</x:v>
      </x:c>
      <x:c r="B118" t="n">
        <x:f>'01 Sensory Input'!B118</x:f>
        <x:v>13</x:v>
      </x:c>
      <x:c r="C118" t="n">
        <x:f>IF(A118=A117,--(ABS('01 Sensory Input'!C118-'01 Sensory Input'!C117)&gt;=$B$3),0)</x:f>
        <x:v>0</x:v>
      </x:c>
      <x:c r="D118" t="n">
        <x:f>IF(A118=A117,--(ABS('01 Sensory Input'!D118-'01 Sensory Input'!D117)&gt;=$B$3),0)</x:f>
        <x:v>0</x:v>
      </x:c>
      <x:c r="E118" t="n">
        <x:f>IF(A118=A117,--(ABS('01 Sensory Input'!E118-'01 Sensory Input'!E117)&gt;=$B$3),0)</x:f>
        <x:v>0</x:v>
      </x:c>
      <x:c r="F118" t="n">
        <x:f>IF(A118=A117,--(ABS('01 Sensory Input'!F118-'01 Sensory Input'!F117)&gt;=$B$3),0)</x:f>
        <x:v>0</x:v>
      </x:c>
      <x:c r="G118" t="n">
        <x:f>IF(A118=A117,--(ABS('01 Sensory Input'!G118-'01 Sensory Input'!G117)&gt;=$B$3),0)</x:f>
        <x:v>0</x:v>
      </x:c>
      <x:c r="H118" t="n">
        <x:f>--(SUM(C118:G118)&gt;=2)</x:f>
        <x:v>0</x:v>
      </x:c>
    </x:row>
    <x:row r="119">
      <x:c r="A119" t="n">
        <x:f>'01 Sensory Input'!A119</x:f>
        <x:v>6</x:v>
      </x:c>
      <x:c r="B119" t="n">
        <x:f>'01 Sensory Input'!B119</x:f>
        <x:v>14</x:v>
      </x:c>
      <x:c r="C119" t="n">
        <x:f>IF(A119=A118,--(ABS('01 Sensory Input'!C119-'01 Sensory Input'!C118)&gt;=$B$3),0)</x:f>
        <x:v>0</x:v>
      </x:c>
      <x:c r="D119" t="n">
        <x:f>IF(A119=A118,--(ABS('01 Sensory Input'!D119-'01 Sensory Input'!D118)&gt;=$B$3),0)</x:f>
        <x:v>0</x:v>
      </x:c>
      <x:c r="E119" t="n">
        <x:f>IF(A119=A118,--(ABS('01 Sensory Input'!E119-'01 Sensory Input'!E118)&gt;=$B$3),0)</x:f>
        <x:v>0</x:v>
      </x:c>
      <x:c r="F119" t="n">
        <x:f>IF(A119=A118,--(ABS('01 Sensory Input'!F119-'01 Sensory Input'!F118)&gt;=$B$3),0)</x:f>
        <x:v>0</x:v>
      </x:c>
      <x:c r="G119" t="n">
        <x:f>IF(A119=A118,--(ABS('01 Sensory Input'!G119-'01 Sensory Input'!G118)&gt;=$B$3),0)</x:f>
        <x:v>0</x:v>
      </x:c>
      <x:c r="H119" t="n">
        <x:f>--(SUM(C119:G119)&gt;=2)</x:f>
        <x:v>0</x:v>
      </x:c>
    </x:row>
    <x:row r="120">
      <x:c r="A120" t="n">
        <x:f>'01 Sensory Input'!A120</x:f>
        <x:v>6</x:v>
      </x:c>
      <x:c r="B120" t="n">
        <x:f>'01 Sensory Input'!B120</x:f>
        <x:v>15</x:v>
      </x:c>
      <x:c r="C120" t="n">
        <x:f>IF(A120=A119,--(ABS('01 Sensory Input'!C120-'01 Sensory Input'!C119)&gt;=$B$3),0)</x:f>
        <x:v>0</x:v>
      </x:c>
      <x:c r="D120" t="n">
        <x:f>IF(A120=A119,--(ABS('01 Sensory Input'!D120-'01 Sensory Input'!D119)&gt;=$B$3),0)</x:f>
        <x:v>1</x:v>
      </x:c>
      <x:c r="E120" t="n">
        <x:f>IF(A120=A119,--(ABS('01 Sensory Input'!E120-'01 Sensory Input'!E119)&gt;=$B$3),0)</x:f>
        <x:v>0</x:v>
      </x:c>
      <x:c r="F120" t="n">
        <x:f>IF(A120=A119,--(ABS('01 Sensory Input'!F120-'01 Sensory Input'!F119)&gt;=$B$3),0)</x:f>
        <x:v>0</x:v>
      </x:c>
      <x:c r="G120" t="n">
        <x:f>IF(A120=A119,--(ABS('01 Sensory Input'!G120-'01 Sensory Input'!G119)&gt;=$B$3),0)</x:f>
        <x:v>0</x:v>
      </x:c>
      <x:c r="H120" t="n">
        <x:f>--(SUM(C120:G120)&gt;=2)</x:f>
        <x:v>0</x:v>
      </x:c>
    </x:row>
    <x:row r="121">
      <x:c r="A121" t="n">
        <x:f>'01 Sensory Input'!A121</x:f>
        <x:v>6</x:v>
      </x:c>
      <x:c r="B121" t="n">
        <x:f>'01 Sensory Input'!B121</x:f>
        <x:v>16</x:v>
      </x:c>
      <x:c r="C121" t="n">
        <x:f>IF(A121=A120,--(ABS('01 Sensory Input'!C121-'01 Sensory Input'!C120)&gt;=$B$3),0)</x:f>
        <x:v>0</x:v>
      </x:c>
      <x:c r="D121" t="n">
        <x:f>IF(A121=A120,--(ABS('01 Sensory Input'!D121-'01 Sensory Input'!D120)&gt;=$B$3),0)</x:f>
        <x:v>0</x:v>
      </x:c>
      <x:c r="E121" t="n">
        <x:f>IF(A121=A120,--(ABS('01 Sensory Input'!E121-'01 Sensory Input'!E120)&gt;=$B$3),0)</x:f>
        <x:v>0</x:v>
      </x:c>
      <x:c r="F121" t="n">
        <x:f>IF(A121=A120,--(ABS('01 Sensory Input'!F121-'01 Sensory Input'!F120)&gt;=$B$3),0)</x:f>
        <x:v>0</x:v>
      </x:c>
      <x:c r="G121" t="n">
        <x:f>IF(A121=A120,--(ABS('01 Sensory Input'!G121-'01 Sensory Input'!G120)&gt;=$B$3),0)</x:f>
        <x:v>0</x:v>
      </x:c>
      <x:c r="H121" t="n">
        <x:f>--(SUM(C121:G121)&gt;=2)</x:f>
        <x:v>0</x:v>
      </x:c>
    </x:row>
    <x:row r="122">
      <x:c r="A122" t="n">
        <x:f>'01 Sensory Input'!A122</x:f>
        <x:v>6</x:v>
      </x:c>
      <x:c r="B122" t="n">
        <x:f>'01 Sensory Input'!B122</x:f>
        <x:v>17</x:v>
      </x:c>
      <x:c r="C122" t="n">
        <x:f>IF(A122=A121,--(ABS('01 Sensory Input'!C122-'01 Sensory Input'!C121)&gt;=$B$3),0)</x:f>
        <x:v>0</x:v>
      </x:c>
      <x:c r="D122" t="n">
        <x:f>IF(A122=A121,--(ABS('01 Sensory Input'!D122-'01 Sensory Input'!D121)&gt;=$B$3),0)</x:f>
        <x:v>0</x:v>
      </x:c>
      <x:c r="E122" t="n">
        <x:f>IF(A122=A121,--(ABS('01 Sensory Input'!E122-'01 Sensory Input'!E121)&gt;=$B$3),0)</x:f>
        <x:v>0</x:v>
      </x:c>
      <x:c r="F122" t="n">
        <x:f>IF(A122=A121,--(ABS('01 Sensory Input'!F122-'01 Sensory Input'!F121)&gt;=$B$3),0)</x:f>
        <x:v>0</x:v>
      </x:c>
      <x:c r="G122" t="n">
        <x:f>IF(A122=A121,--(ABS('01 Sensory Input'!G122-'01 Sensory Input'!G121)&gt;=$B$3),0)</x:f>
        <x:v>0</x:v>
      </x:c>
      <x:c r="H122" t="n">
        <x:f>--(SUM(C122:G122)&gt;=2)</x:f>
        <x:v>0</x:v>
      </x:c>
    </x:row>
    <x:row r="123">
      <x:c r="A123" t="n">
        <x:f>'01 Sensory Input'!A123</x:f>
        <x:v>6</x:v>
      </x:c>
      <x:c r="B123" t="n">
        <x:f>'01 Sensory Input'!B123</x:f>
        <x:v>18</x:v>
      </x:c>
      <x:c r="C123" t="n">
        <x:f>IF(A123=A122,--(ABS('01 Sensory Input'!C123-'01 Sensory Input'!C122)&gt;=$B$3),0)</x:f>
        <x:v>0</x:v>
      </x:c>
      <x:c r="D123" t="n">
        <x:f>IF(A123=A122,--(ABS('01 Sensory Input'!D123-'01 Sensory Input'!D122)&gt;=$B$3),0)</x:f>
        <x:v>0</x:v>
      </x:c>
      <x:c r="E123" t="n">
        <x:f>IF(A123=A122,--(ABS('01 Sensory Input'!E123-'01 Sensory Input'!E122)&gt;=$B$3),0)</x:f>
        <x:v>0</x:v>
      </x:c>
      <x:c r="F123" t="n">
        <x:f>IF(A123=A122,--(ABS('01 Sensory Input'!F123-'01 Sensory Input'!F122)&gt;=$B$3),0)</x:f>
        <x:v>0</x:v>
      </x:c>
      <x:c r="G123" t="n">
        <x:f>IF(A123=A122,--(ABS('01 Sensory Input'!G123-'01 Sensory Input'!G122)&gt;=$B$3),0)</x:f>
        <x:v>0</x:v>
      </x:c>
      <x:c r="H123" t="n">
        <x:f>--(SUM(C123:G123)&gt;=2)</x:f>
        <x:v>0</x:v>
      </x:c>
    </x:row>
    <x:row r="124">
      <x:c r="A124" t="n">
        <x:f>'01 Sensory Input'!A124</x:f>
        <x:v>6</x:v>
      </x:c>
      <x:c r="B124" t="n">
        <x:f>'01 Sensory Input'!B124</x:f>
        <x:v>19</x:v>
      </x:c>
      <x:c r="C124" t="n">
        <x:f>IF(A124=A123,--(ABS('01 Sensory Input'!C124-'01 Sensory Input'!C123)&gt;=$B$3),0)</x:f>
        <x:v>0</x:v>
      </x:c>
      <x:c r="D124" t="n">
        <x:f>IF(A124=A123,--(ABS('01 Sensory Input'!D124-'01 Sensory Input'!D123)&gt;=$B$3),0)</x:f>
        <x:v>0</x:v>
      </x:c>
      <x:c r="E124" t="n">
        <x:f>IF(A124=A123,--(ABS('01 Sensory Input'!E124-'01 Sensory Input'!E123)&gt;=$B$3),0)</x:f>
        <x:v>0</x:v>
      </x:c>
      <x:c r="F124" t="n">
        <x:f>IF(A124=A123,--(ABS('01 Sensory Input'!F124-'01 Sensory Input'!F123)&gt;=$B$3),0)</x:f>
        <x:v>0</x:v>
      </x:c>
      <x:c r="G124" t="n">
        <x:f>IF(A124=A123,--(ABS('01 Sensory Input'!G124-'01 Sensory Input'!G123)&gt;=$B$3),0)</x:f>
        <x:v>0</x:v>
      </x:c>
      <x:c r="H124" t="n">
        <x:f>--(SUM(C124:G124)&gt;=2)</x:f>
        <x:v>0</x:v>
      </x:c>
    </x:row>
    <x:row r="125">
      <x:c r="A125" t="n">
        <x:f>'01 Sensory Input'!A125</x:f>
        <x:v>6</x:v>
      </x:c>
      <x:c r="B125" t="n">
        <x:f>'01 Sensory Input'!B125</x:f>
        <x:v>20</x:v>
      </x:c>
      <x:c r="C125" t="n">
        <x:f>IF(A125=A124,--(ABS('01 Sensory Input'!C125-'01 Sensory Input'!C124)&gt;=$B$3),0)</x:f>
        <x:v>0</x:v>
      </x:c>
      <x:c r="D125" t="n">
        <x:f>IF(A125=A124,--(ABS('01 Sensory Input'!D125-'01 Sensory Input'!D124)&gt;=$B$3),0)</x:f>
        <x:v>0</x:v>
      </x:c>
      <x:c r="E125" t="n">
        <x:f>IF(A125=A124,--(ABS('01 Sensory Input'!E125-'01 Sensory Input'!E124)&gt;=$B$3),0)</x:f>
        <x:v>0</x:v>
      </x:c>
      <x:c r="F125" t="n">
        <x:f>IF(A125=A124,--(ABS('01 Sensory Input'!F125-'01 Sensory Input'!F124)&gt;=$B$3),0)</x:f>
        <x:v>0</x:v>
      </x:c>
      <x:c r="G125" t="n">
        <x:f>IF(A125=A124,--(ABS('01 Sensory Input'!G125-'01 Sensory Input'!G124)&gt;=$B$3),0)</x:f>
        <x:v>0</x:v>
      </x:c>
      <x:c r="H125" t="n">
        <x:f>--(SUM(C125:G125)&gt;=2)</x:f>
        <x:v>0</x:v>
      </x:c>
    </x:row>
    <x:row r="126">
      <x:c r="A126" t="n">
        <x:f>'01 Sensory Input'!A126</x:f>
        <x:v>7</x:v>
      </x:c>
      <x:c r="B126" t="n">
        <x:f>'01 Sensory Input'!B126</x:f>
        <x:v>1</x:v>
      </x:c>
      <x:c r="C126" t="n">
        <x:f>IF(A126=A125,--(ABS('01 Sensory Input'!C126-'01 Sensory Input'!C125)&gt;=$B$3),0)</x:f>
        <x:v>0</x:v>
      </x:c>
      <x:c r="D126" t="n">
        <x:f>IF(A126=A125,--(ABS('01 Sensory Input'!D126-'01 Sensory Input'!D125)&gt;=$B$3),0)</x:f>
        <x:v>0</x:v>
      </x:c>
      <x:c r="E126" t="n">
        <x:f>IF(A126=A125,--(ABS('01 Sensory Input'!E126-'01 Sensory Input'!E125)&gt;=$B$3),0)</x:f>
        <x:v>0</x:v>
      </x:c>
      <x:c r="F126" t="n">
        <x:f>IF(A126=A125,--(ABS('01 Sensory Input'!F126-'01 Sensory Input'!F125)&gt;=$B$3),0)</x:f>
        <x:v>0</x:v>
      </x:c>
      <x:c r="G126" t="n">
        <x:f>IF(A126=A125,--(ABS('01 Sensory Input'!G126-'01 Sensory Input'!G125)&gt;=$B$3),0)</x:f>
        <x:v>0</x:v>
      </x:c>
      <x:c r="H126" t="n">
        <x:f>--(SUM(C126:G126)&gt;=2)</x:f>
        <x:v>0</x:v>
      </x:c>
    </x:row>
    <x:row r="127">
      <x:c r="A127" t="n">
        <x:f>'01 Sensory Input'!A127</x:f>
        <x:v>7</x:v>
      </x:c>
      <x:c r="B127" t="n">
        <x:f>'01 Sensory Input'!B127</x:f>
        <x:v>2</x:v>
      </x:c>
      <x:c r="C127" t="n">
        <x:f>IF(A127=A126,--(ABS('01 Sensory Input'!C127-'01 Sensory Input'!C126)&gt;=$B$3),0)</x:f>
        <x:v>1</x:v>
      </x:c>
      <x:c r="D127" t="n">
        <x:f>IF(A127=A126,--(ABS('01 Sensory Input'!D127-'01 Sensory Input'!D126)&gt;=$B$3),0)</x:f>
        <x:v>1</x:v>
      </x:c>
      <x:c r="E127" t="n">
        <x:f>IF(A127=A126,--(ABS('01 Sensory Input'!E127-'01 Sensory Input'!E126)&gt;=$B$3),0)</x:f>
        <x:v>1</x:v>
      </x:c>
      <x:c r="F127" t="n">
        <x:f>IF(A127=A126,--(ABS('01 Sensory Input'!F127-'01 Sensory Input'!F126)&gt;=$B$3),0)</x:f>
        <x:v>0</x:v>
      </x:c>
      <x:c r="G127" t="n">
        <x:f>IF(A127=A126,--(ABS('01 Sensory Input'!G127-'01 Sensory Input'!G126)&gt;=$B$3),0)</x:f>
        <x:v>0</x:v>
      </x:c>
      <x:c r="H127" t="n">
        <x:f>--(SUM(C127:G127)&gt;=2)</x:f>
        <x:v>1</x:v>
      </x:c>
    </x:row>
    <x:row r="128">
      <x:c r="A128" t="n">
        <x:f>'01 Sensory Input'!A128</x:f>
        <x:v>7</x:v>
      </x:c>
      <x:c r="B128" t="n">
        <x:f>'01 Sensory Input'!B128</x:f>
        <x:v>3</x:v>
      </x:c>
      <x:c r="C128" t="n">
        <x:f>IF(A128=A127,--(ABS('01 Sensory Input'!C128-'01 Sensory Input'!C127)&gt;=$B$3),0)</x:f>
        <x:v>1</x:v>
      </x:c>
      <x:c r="D128" t="n">
        <x:f>IF(A128=A127,--(ABS('01 Sensory Input'!D128-'01 Sensory Input'!D127)&gt;=$B$3),0)</x:f>
        <x:v>1</x:v>
      </x:c>
      <x:c r="E128" t="n">
        <x:f>IF(A128=A127,--(ABS('01 Sensory Input'!E128-'01 Sensory Input'!E127)&gt;=$B$3),0)</x:f>
        <x:v>0</x:v>
      </x:c>
      <x:c r="F128" t="n">
        <x:f>IF(A128=A127,--(ABS('01 Sensory Input'!F128-'01 Sensory Input'!F127)&gt;=$B$3),0)</x:f>
        <x:v>0</x:v>
      </x:c>
      <x:c r="G128" t="n">
        <x:f>IF(A128=A127,--(ABS('01 Sensory Input'!G128-'01 Sensory Input'!G127)&gt;=$B$3),0)</x:f>
        <x:v>1</x:v>
      </x:c>
      <x:c r="H128" t="n">
        <x:f>--(SUM(C128:G128)&gt;=2)</x:f>
        <x:v>1</x:v>
      </x:c>
    </x:row>
    <x:row r="129">
      <x:c r="A129" t="n">
        <x:f>'01 Sensory Input'!A129</x:f>
        <x:v>7</x:v>
      </x:c>
      <x:c r="B129" t="n">
        <x:f>'01 Sensory Input'!B129</x:f>
        <x:v>4</x:v>
      </x:c>
      <x:c r="C129" t="n">
        <x:f>IF(A129=A128,--(ABS('01 Sensory Input'!C129-'01 Sensory Input'!C128)&gt;=$B$3),0)</x:f>
        <x:v>1</x:v>
      </x:c>
      <x:c r="D129" t="n">
        <x:f>IF(A129=A128,--(ABS('01 Sensory Input'!D129-'01 Sensory Input'!D128)&gt;=$B$3),0)</x:f>
        <x:v>1</x:v>
      </x:c>
      <x:c r="E129" t="n">
        <x:f>IF(A129=A128,--(ABS('01 Sensory Input'!E129-'01 Sensory Input'!E128)&gt;=$B$3),0)</x:f>
        <x:v>1</x:v>
      </x:c>
      <x:c r="F129" t="n">
        <x:f>IF(A129=A128,--(ABS('01 Sensory Input'!F129-'01 Sensory Input'!F128)&gt;=$B$3),0)</x:f>
        <x:v>0</x:v>
      </x:c>
      <x:c r="G129" t="n">
        <x:f>IF(A129=A128,--(ABS('01 Sensory Input'!G129-'01 Sensory Input'!G128)&gt;=$B$3),0)</x:f>
        <x:v>1</x:v>
      </x:c>
      <x:c r="H129" t="n">
        <x:f>--(SUM(C129:G129)&gt;=2)</x:f>
        <x:v>1</x:v>
      </x:c>
    </x:row>
    <x:row r="130">
      <x:c r="A130" t="n">
        <x:f>'01 Sensory Input'!A130</x:f>
        <x:v>7</x:v>
      </x:c>
      <x:c r="B130" t="n">
        <x:f>'01 Sensory Input'!B130</x:f>
        <x:v>5</x:v>
      </x:c>
      <x:c r="C130" t="n">
        <x:f>IF(A130=A129,--(ABS('01 Sensory Input'!C130-'01 Sensory Input'!C129)&gt;=$B$3),0)</x:f>
        <x:v>1</x:v>
      </x:c>
      <x:c r="D130" t="n">
        <x:f>IF(A130=A129,--(ABS('01 Sensory Input'!D130-'01 Sensory Input'!D129)&gt;=$B$3),0)</x:f>
        <x:v>1</x:v>
      </x:c>
      <x:c r="E130" t="n">
        <x:f>IF(A130=A129,--(ABS('01 Sensory Input'!E130-'01 Sensory Input'!E129)&gt;=$B$3),0)</x:f>
        <x:v>0</x:v>
      </x:c>
      <x:c r="F130" t="n">
        <x:f>IF(A130=A129,--(ABS('01 Sensory Input'!F130-'01 Sensory Input'!F129)&gt;=$B$3),0)</x:f>
        <x:v>0</x:v>
      </x:c>
      <x:c r="G130" t="n">
        <x:f>IF(A130=A129,--(ABS('01 Sensory Input'!G130-'01 Sensory Input'!G129)&gt;=$B$3),0)</x:f>
        <x:v>0</x:v>
      </x:c>
      <x:c r="H130" t="n">
        <x:f>--(SUM(C130:G130)&gt;=2)</x:f>
        <x:v>1</x:v>
      </x:c>
    </x:row>
    <x:row r="131">
      <x:c r="A131" t="n">
        <x:f>'01 Sensory Input'!A131</x:f>
        <x:v>7</x:v>
      </x:c>
      <x:c r="B131" t="n">
        <x:f>'01 Sensory Input'!B131</x:f>
        <x:v>6</x:v>
      </x:c>
      <x:c r="C131" t="n">
        <x:f>IF(A131=A130,--(ABS('01 Sensory Input'!C131-'01 Sensory Input'!C130)&gt;=$B$3),0)</x:f>
        <x:v>1</x:v>
      </x:c>
      <x:c r="D131" t="n">
        <x:f>IF(A131=A130,--(ABS('01 Sensory Input'!D131-'01 Sensory Input'!D130)&gt;=$B$3),0)</x:f>
        <x:v>1</x:v>
      </x:c>
      <x:c r="E131" t="n">
        <x:f>IF(A131=A130,--(ABS('01 Sensory Input'!E131-'01 Sensory Input'!E130)&gt;=$B$3),0)</x:f>
        <x:v>1</x:v>
      </x:c>
      <x:c r="F131" t="n">
        <x:f>IF(A131=A130,--(ABS('01 Sensory Input'!F131-'01 Sensory Input'!F130)&gt;=$B$3),0)</x:f>
        <x:v>0</x:v>
      </x:c>
      <x:c r="G131" t="n">
        <x:f>IF(A131=A130,--(ABS('01 Sensory Input'!G131-'01 Sensory Input'!G130)&gt;=$B$3),0)</x:f>
        <x:v>1</x:v>
      </x:c>
      <x:c r="H131" t="n">
        <x:f>--(SUM(C131:G131)&gt;=2)</x:f>
        <x:v>1</x:v>
      </x:c>
    </x:row>
    <x:row r="132">
      <x:c r="A132" t="n">
        <x:f>'01 Sensory Input'!A132</x:f>
        <x:v>7</x:v>
      </x:c>
      <x:c r="B132" t="n">
        <x:f>'01 Sensory Input'!B132</x:f>
        <x:v>7</x:v>
      </x:c>
      <x:c r="C132" t="n">
        <x:f>IF(A132=A131,--(ABS('01 Sensory Input'!C132-'01 Sensory Input'!C131)&gt;=$B$3),0)</x:f>
        <x:v>1</x:v>
      </x:c>
      <x:c r="D132" t="n">
        <x:f>IF(A132=A131,--(ABS('01 Sensory Input'!D132-'01 Sensory Input'!D131)&gt;=$B$3),0)</x:f>
        <x:v>1</x:v>
      </x:c>
      <x:c r="E132" t="n">
        <x:f>IF(A132=A131,--(ABS('01 Sensory Input'!E132-'01 Sensory Input'!E131)&gt;=$B$3),0)</x:f>
        <x:v>0</x:v>
      </x:c>
      <x:c r="F132" t="n">
        <x:f>IF(A132=A131,--(ABS('01 Sensory Input'!F132-'01 Sensory Input'!F131)&gt;=$B$3),0)</x:f>
        <x:v>0</x:v>
      </x:c>
      <x:c r="G132" t="n">
        <x:f>IF(A132=A131,--(ABS('01 Sensory Input'!G132-'01 Sensory Input'!G131)&gt;=$B$3),0)</x:f>
        <x:v>1</x:v>
      </x:c>
      <x:c r="H132" t="n">
        <x:f>--(SUM(C132:G132)&gt;=2)</x:f>
        <x:v>1</x:v>
      </x:c>
    </x:row>
    <x:row r="133">
      <x:c r="A133" t="n">
        <x:f>'01 Sensory Input'!A133</x:f>
        <x:v>7</x:v>
      </x:c>
      <x:c r="B133" t="n">
        <x:f>'01 Sensory Input'!B133</x:f>
        <x:v>8</x:v>
      </x:c>
      <x:c r="C133" t="n">
        <x:f>IF(A133=A132,--(ABS('01 Sensory Input'!C133-'01 Sensory Input'!C132)&gt;=$B$3),0)</x:f>
        <x:v>1</x:v>
      </x:c>
      <x:c r="D133" t="n">
        <x:f>IF(A133=A132,--(ABS('01 Sensory Input'!D133-'01 Sensory Input'!D132)&gt;=$B$3),0)</x:f>
        <x:v>1</x:v>
      </x:c>
      <x:c r="E133" t="n">
        <x:f>IF(A133=A132,--(ABS('01 Sensory Input'!E133-'01 Sensory Input'!E132)&gt;=$B$3),0)</x:f>
        <x:v>1</x:v>
      </x:c>
      <x:c r="F133" t="n">
        <x:f>IF(A133=A132,--(ABS('01 Sensory Input'!F133-'01 Sensory Input'!F132)&gt;=$B$3),0)</x:f>
        <x:v>0</x:v>
      </x:c>
      <x:c r="G133" t="n">
        <x:f>IF(A133=A132,--(ABS('01 Sensory Input'!G133-'01 Sensory Input'!G132)&gt;=$B$3),0)</x:f>
        <x:v>0</x:v>
      </x:c>
      <x:c r="H133" t="n">
        <x:f>--(SUM(C133:G133)&gt;=2)</x:f>
        <x:v>1</x:v>
      </x:c>
    </x:row>
    <x:row r="134">
      <x:c r="A134" t="n">
        <x:f>'01 Sensory Input'!A134</x:f>
        <x:v>7</x:v>
      </x:c>
      <x:c r="B134" t="n">
        <x:f>'01 Sensory Input'!B134</x:f>
        <x:v>9</x:v>
      </x:c>
      <x:c r="C134" t="n">
        <x:f>IF(A134=A133,--(ABS('01 Sensory Input'!C134-'01 Sensory Input'!C133)&gt;=$B$3),0)</x:f>
        <x:v>0</x:v>
      </x:c>
      <x:c r="D134" t="n">
        <x:f>IF(A134=A133,--(ABS('01 Sensory Input'!D134-'01 Sensory Input'!D133)&gt;=$B$3),0)</x:f>
        <x:v>1</x:v>
      </x:c>
      <x:c r="E134" t="n">
        <x:f>IF(A134=A133,--(ABS('01 Sensory Input'!E134-'01 Sensory Input'!E133)&gt;=$B$3),0)</x:f>
        <x:v>0</x:v>
      </x:c>
      <x:c r="F134" t="n">
        <x:f>IF(A134=A133,--(ABS('01 Sensory Input'!F134-'01 Sensory Input'!F133)&gt;=$B$3),0)</x:f>
        <x:v>0</x:v>
      </x:c>
      <x:c r="G134" t="n">
        <x:f>IF(A134=A133,--(ABS('01 Sensory Input'!G134-'01 Sensory Input'!G133)&gt;=$B$3),0)</x:f>
        <x:v>1</x:v>
      </x:c>
      <x:c r="H134" t="n">
        <x:f>--(SUM(C134:G134)&gt;=2)</x:f>
        <x:v>1</x:v>
      </x:c>
    </x:row>
    <x:row r="135">
      <x:c r="A135" t="n">
        <x:f>'01 Sensory Input'!A135</x:f>
        <x:v>7</x:v>
      </x:c>
      <x:c r="B135" t="n">
        <x:f>'01 Sensory Input'!B135</x:f>
        <x:v>10</x:v>
      </x:c>
      <x:c r="C135" t="n">
        <x:f>IF(A135=A134,--(ABS('01 Sensory Input'!C135-'01 Sensory Input'!C134)&gt;=$B$3),0)</x:f>
        <x:v>1</x:v>
      </x:c>
      <x:c r="D135" t="n">
        <x:f>IF(A135=A134,--(ABS('01 Sensory Input'!D135-'01 Sensory Input'!D134)&gt;=$B$3),0)</x:f>
        <x:v>1</x:v>
      </x:c>
      <x:c r="E135" t="n">
        <x:f>IF(A135=A134,--(ABS('01 Sensory Input'!E135-'01 Sensory Input'!E134)&gt;=$B$3),0)</x:f>
        <x:v>1</x:v>
      </x:c>
      <x:c r="F135" t="n">
        <x:f>IF(A135=A134,--(ABS('01 Sensory Input'!F135-'01 Sensory Input'!F134)&gt;=$B$3),0)</x:f>
        <x:v>0</x:v>
      </x:c>
      <x:c r="G135" t="n">
        <x:f>IF(A135=A134,--(ABS('01 Sensory Input'!G135-'01 Sensory Input'!G134)&gt;=$B$3),0)</x:f>
        <x:v>1</x:v>
      </x:c>
      <x:c r="H135" t="n">
        <x:f>--(SUM(C135:G135)&gt;=2)</x:f>
        <x:v>1</x:v>
      </x:c>
    </x:row>
    <x:row r="136">
      <x:c r="A136" t="n">
        <x:f>'01 Sensory Input'!A136</x:f>
        <x:v>7</x:v>
      </x:c>
      <x:c r="B136" t="n">
        <x:f>'01 Sensory Input'!B136</x:f>
        <x:v>11</x:v>
      </x:c>
      <x:c r="C136" t="n">
        <x:f>IF(A136=A135,--(ABS('01 Sensory Input'!C136-'01 Sensory Input'!C135)&gt;=$B$3),0)</x:f>
        <x:v>1</x:v>
      </x:c>
      <x:c r="D136" t="n">
        <x:f>IF(A136=A135,--(ABS('01 Sensory Input'!D136-'01 Sensory Input'!D135)&gt;=$B$3),0)</x:f>
        <x:v>1</x:v>
      </x:c>
      <x:c r="E136" t="n">
        <x:f>IF(A136=A135,--(ABS('01 Sensory Input'!E136-'01 Sensory Input'!E135)&gt;=$B$3),0)</x:f>
        <x:v>0</x:v>
      </x:c>
      <x:c r="F136" t="n">
        <x:f>IF(A136=A135,--(ABS('01 Sensory Input'!F136-'01 Sensory Input'!F135)&gt;=$B$3),0)</x:f>
        <x:v>0</x:v>
      </x:c>
      <x:c r="G136" t="n">
        <x:f>IF(A136=A135,--(ABS('01 Sensory Input'!G136-'01 Sensory Input'!G135)&gt;=$B$3),0)</x:f>
        <x:v>0</x:v>
      </x:c>
      <x:c r="H136" t="n">
        <x:f>--(SUM(C136:G136)&gt;=2)</x:f>
        <x:v>1</x:v>
      </x:c>
    </x:row>
    <x:row r="137">
      <x:c r="A137" t="n">
        <x:f>'01 Sensory Input'!A137</x:f>
        <x:v>7</x:v>
      </x:c>
      <x:c r="B137" t="n">
        <x:f>'01 Sensory Input'!B137</x:f>
        <x:v>12</x:v>
      </x:c>
      <x:c r="C137" t="n">
        <x:f>IF(A137=A136,--(ABS('01 Sensory Input'!C137-'01 Sensory Input'!C136)&gt;=$B$3),0)</x:f>
        <x:v>0</x:v>
      </x:c>
      <x:c r="D137" t="n">
        <x:f>IF(A137=A136,--(ABS('01 Sensory Input'!D137-'01 Sensory Input'!D136)&gt;=$B$3),0)</x:f>
        <x:v>1</x:v>
      </x:c>
      <x:c r="E137" t="n">
        <x:f>IF(A137=A136,--(ABS('01 Sensory Input'!E137-'01 Sensory Input'!E136)&gt;=$B$3),0)</x:f>
        <x:v>1</x:v>
      </x:c>
      <x:c r="F137" t="n">
        <x:f>IF(A137=A136,--(ABS('01 Sensory Input'!F137-'01 Sensory Input'!F136)&gt;=$B$3),0)</x:f>
        <x:v>0</x:v>
      </x:c>
      <x:c r="G137" t="n">
        <x:f>IF(A137=A136,--(ABS('01 Sensory Input'!G137-'01 Sensory Input'!G136)&gt;=$B$3),0)</x:f>
        <x:v>1</x:v>
      </x:c>
      <x:c r="H137" t="n">
        <x:f>--(SUM(C137:G137)&gt;=2)</x:f>
        <x:v>1</x:v>
      </x:c>
    </x:row>
    <x:row r="138">
      <x:c r="A138" t="n">
        <x:f>'01 Sensory Input'!A138</x:f>
        <x:v>7</x:v>
      </x:c>
      <x:c r="B138" t="n">
        <x:f>'01 Sensory Input'!B138</x:f>
        <x:v>13</x:v>
      </x:c>
      <x:c r="C138" t="n">
        <x:f>IF(A138=A137,--(ABS('01 Sensory Input'!C138-'01 Sensory Input'!C137)&gt;=$B$3),0)</x:f>
        <x:v>1</x:v>
      </x:c>
      <x:c r="D138" t="n">
        <x:f>IF(A138=A137,--(ABS('01 Sensory Input'!D138-'01 Sensory Input'!D137)&gt;=$B$3),0)</x:f>
        <x:v>1</x:v>
      </x:c>
      <x:c r="E138" t="n">
        <x:f>IF(A138=A137,--(ABS('01 Sensory Input'!E138-'01 Sensory Input'!E137)&gt;=$B$3),0)</x:f>
        <x:v>0</x:v>
      </x:c>
      <x:c r="F138" t="n">
        <x:f>IF(A138=A137,--(ABS('01 Sensory Input'!F138-'01 Sensory Input'!F137)&gt;=$B$3),0)</x:f>
        <x:v>0</x:v>
      </x:c>
      <x:c r="G138" t="n">
        <x:f>IF(A138=A137,--(ABS('01 Sensory Input'!G138-'01 Sensory Input'!G137)&gt;=$B$3),0)</x:f>
        <x:v>1</x:v>
      </x:c>
      <x:c r="H138" t="n">
        <x:f>--(SUM(C138:G138)&gt;=2)</x:f>
        <x:v>1</x:v>
      </x:c>
    </x:row>
    <x:row r="139">
      <x:c r="A139" t="n">
        <x:f>'01 Sensory Input'!A139</x:f>
        <x:v>7</x:v>
      </x:c>
      <x:c r="B139" t="n">
        <x:f>'01 Sensory Input'!B139</x:f>
        <x:v>14</x:v>
      </x:c>
      <x:c r="C139" t="n">
        <x:f>IF(A139=A138,--(ABS('01 Sensory Input'!C139-'01 Sensory Input'!C138)&gt;=$B$3),0)</x:f>
        <x:v>0</x:v>
      </x:c>
      <x:c r="D139" t="n">
        <x:f>IF(A139=A138,--(ABS('01 Sensory Input'!D139-'01 Sensory Input'!D138)&gt;=$B$3),0)</x:f>
        <x:v>1</x:v>
      </x:c>
      <x:c r="E139" t="n">
        <x:f>IF(A139=A138,--(ABS('01 Sensory Input'!E139-'01 Sensory Input'!E138)&gt;=$B$3),0)</x:f>
        <x:v>1</x:v>
      </x:c>
      <x:c r="F139" t="n">
        <x:f>IF(A139=A138,--(ABS('01 Sensory Input'!F139-'01 Sensory Input'!F138)&gt;=$B$3),0)</x:f>
        <x:v>0</x:v>
      </x:c>
      <x:c r="G139" t="n">
        <x:f>IF(A139=A138,--(ABS('01 Sensory Input'!G139-'01 Sensory Input'!G138)&gt;=$B$3),0)</x:f>
        <x:v>0</x:v>
      </x:c>
      <x:c r="H139" t="n">
        <x:f>--(SUM(C139:G139)&gt;=2)</x:f>
        <x:v>1</x:v>
      </x:c>
    </x:row>
    <x:row r="140">
      <x:c r="A140" t="n">
        <x:f>'01 Sensory Input'!A140</x:f>
        <x:v>7</x:v>
      </x:c>
      <x:c r="B140" t="n">
        <x:f>'01 Sensory Input'!B140</x:f>
        <x:v>15</x:v>
      </x:c>
      <x:c r="C140" t="n">
        <x:f>IF(A140=A139,--(ABS('01 Sensory Input'!C140-'01 Sensory Input'!C139)&gt;=$B$3),0)</x:f>
        <x:v>1</x:v>
      </x:c>
      <x:c r="D140" t="n">
        <x:f>IF(A140=A139,--(ABS('01 Sensory Input'!D140-'01 Sensory Input'!D139)&gt;=$B$3),0)</x:f>
        <x:v>1</x:v>
      </x:c>
      <x:c r="E140" t="n">
        <x:f>IF(A140=A139,--(ABS('01 Sensory Input'!E140-'01 Sensory Input'!E139)&gt;=$B$3),0)</x:f>
        <x:v>0</x:v>
      </x:c>
      <x:c r="F140" t="n">
        <x:f>IF(A140=A139,--(ABS('01 Sensory Input'!F140-'01 Sensory Input'!F139)&gt;=$B$3),0)</x:f>
        <x:v>0</x:v>
      </x:c>
      <x:c r="G140" t="n">
        <x:f>IF(A140=A139,--(ABS('01 Sensory Input'!G140-'01 Sensory Input'!G139)&gt;=$B$3),0)</x:f>
        <x:v>1</x:v>
      </x:c>
      <x:c r="H140" t="n">
        <x:f>--(SUM(C140:G140)&gt;=2)</x:f>
        <x:v>1</x:v>
      </x:c>
    </x:row>
    <x:row r="141">
      <x:c r="A141" t="n">
        <x:f>'01 Sensory Input'!A141</x:f>
        <x:v>7</x:v>
      </x:c>
      <x:c r="B141" t="n">
        <x:f>'01 Sensory Input'!B141</x:f>
        <x:v>16</x:v>
      </x:c>
      <x:c r="C141" t="n">
        <x:f>IF(A141=A140,--(ABS('01 Sensory Input'!C141-'01 Sensory Input'!C140)&gt;=$B$3),0)</x:f>
        <x:v>0</x:v>
      </x:c>
      <x:c r="D141" t="n">
        <x:f>IF(A141=A140,--(ABS('01 Sensory Input'!D141-'01 Sensory Input'!D140)&gt;=$B$3),0)</x:f>
        <x:v>1</x:v>
      </x:c>
      <x:c r="E141" t="n">
        <x:f>IF(A141=A140,--(ABS('01 Sensory Input'!E141-'01 Sensory Input'!E140)&gt;=$B$3),0)</x:f>
        <x:v>1</x:v>
      </x:c>
      <x:c r="F141" t="n">
        <x:f>IF(A141=A140,--(ABS('01 Sensory Input'!F141-'01 Sensory Input'!F140)&gt;=$B$3),0)</x:f>
        <x:v>0</x:v>
      </x:c>
      <x:c r="G141" t="n">
        <x:f>IF(A141=A140,--(ABS('01 Sensory Input'!G141-'01 Sensory Input'!G140)&gt;=$B$3),0)</x:f>
        <x:v>1</x:v>
      </x:c>
      <x:c r="H141" t="n">
        <x:f>--(SUM(C141:G141)&gt;=2)</x:f>
        <x:v>1</x:v>
      </x:c>
    </x:row>
    <x:row r="142">
      <x:c r="A142" t="n">
        <x:f>'01 Sensory Input'!A142</x:f>
        <x:v>7</x:v>
      </x:c>
      <x:c r="B142" t="n">
        <x:f>'01 Sensory Input'!B142</x:f>
        <x:v>17</x:v>
      </x:c>
      <x:c r="C142" t="n">
        <x:f>IF(A142=A141,--(ABS('01 Sensory Input'!C142-'01 Sensory Input'!C141)&gt;=$B$3),0)</x:f>
        <x:v>1</x:v>
      </x:c>
      <x:c r="D142" t="n">
        <x:f>IF(A142=A141,--(ABS('01 Sensory Input'!D142-'01 Sensory Input'!D141)&gt;=$B$3),0)</x:f>
        <x:v>1</x:v>
      </x:c>
      <x:c r="E142" t="n">
        <x:f>IF(A142=A141,--(ABS('01 Sensory Input'!E142-'01 Sensory Input'!E141)&gt;=$B$3),0)</x:f>
        <x:v>0</x:v>
      </x:c>
      <x:c r="F142" t="n">
        <x:f>IF(A142=A141,--(ABS('01 Sensory Input'!F142-'01 Sensory Input'!F141)&gt;=$B$3),0)</x:f>
        <x:v>0</x:v>
      </x:c>
      <x:c r="G142" t="n">
        <x:f>IF(A142=A141,--(ABS('01 Sensory Input'!G142-'01 Sensory Input'!G141)&gt;=$B$3),0)</x:f>
        <x:v>0</x:v>
      </x:c>
      <x:c r="H142" t="n">
        <x:f>--(SUM(C142:G142)&gt;=2)</x:f>
        <x:v>1</x:v>
      </x:c>
    </x:row>
    <x:row r="143">
      <x:c r="A143" t="n">
        <x:f>'01 Sensory Input'!A143</x:f>
        <x:v>7</x:v>
      </x:c>
      <x:c r="B143" t="n">
        <x:f>'01 Sensory Input'!B143</x:f>
        <x:v>18</x:v>
      </x:c>
      <x:c r="C143" t="n">
        <x:f>IF(A143=A142,--(ABS('01 Sensory Input'!C143-'01 Sensory Input'!C142)&gt;=$B$3),0)</x:f>
        <x:v>0</x:v>
      </x:c>
      <x:c r="D143" t="n">
        <x:f>IF(A143=A142,--(ABS('01 Sensory Input'!D143-'01 Sensory Input'!D142)&gt;=$B$3),0)</x:f>
        <x:v>1</x:v>
      </x:c>
      <x:c r="E143" t="n">
        <x:f>IF(A143=A142,--(ABS('01 Sensory Input'!E143-'01 Sensory Input'!E142)&gt;=$B$3),0)</x:f>
        <x:v>1</x:v>
      </x:c>
      <x:c r="F143" t="n">
        <x:f>IF(A143=A142,--(ABS('01 Sensory Input'!F143-'01 Sensory Input'!F142)&gt;=$B$3),0)</x:f>
        <x:v>0</x:v>
      </x:c>
      <x:c r="G143" t="n">
        <x:f>IF(A143=A142,--(ABS('01 Sensory Input'!G143-'01 Sensory Input'!G142)&gt;=$B$3),0)</x:f>
        <x:v>1</x:v>
      </x:c>
      <x:c r="H143" t="n">
        <x:f>--(SUM(C143:G143)&gt;=2)</x:f>
        <x:v>1</x:v>
      </x:c>
    </x:row>
    <x:row r="144">
      <x:c r="A144" t="n">
        <x:f>'01 Sensory Input'!A144</x:f>
        <x:v>7</x:v>
      </x:c>
      <x:c r="B144" t="n">
        <x:f>'01 Sensory Input'!B144</x:f>
        <x:v>19</x:v>
      </x:c>
      <x:c r="C144" t="n">
        <x:f>IF(A144=A143,--(ABS('01 Sensory Input'!C144-'01 Sensory Input'!C143)&gt;=$B$3),0)</x:f>
        <x:v>1</x:v>
      </x:c>
      <x:c r="D144" t="n">
        <x:f>IF(A144=A143,--(ABS('01 Sensory Input'!D144-'01 Sensory Input'!D143)&gt;=$B$3),0)</x:f>
        <x:v>1</x:v>
      </x:c>
      <x:c r="E144" t="n">
        <x:f>IF(A144=A143,--(ABS('01 Sensory Input'!E144-'01 Sensory Input'!E143)&gt;=$B$3),0)</x:f>
        <x:v>0</x:v>
      </x:c>
      <x:c r="F144" t="n">
        <x:f>IF(A144=A143,--(ABS('01 Sensory Input'!F144-'01 Sensory Input'!F143)&gt;=$B$3),0)</x:f>
        <x:v>0</x:v>
      </x:c>
      <x:c r="G144" t="n">
        <x:f>IF(A144=A143,--(ABS('01 Sensory Input'!G144-'01 Sensory Input'!G143)&gt;=$B$3),0)</x:f>
        <x:v>1</x:v>
      </x:c>
      <x:c r="H144" t="n">
        <x:f>--(SUM(C144:G144)&gt;=2)</x:f>
        <x:v>1</x:v>
      </x:c>
    </x:row>
    <x:row r="145">
      <x:c r="A145" t="n">
        <x:f>'01 Sensory Input'!A145</x:f>
        <x:v>7</x:v>
      </x:c>
      <x:c r="B145" t="n">
        <x:f>'01 Sensory Input'!B145</x:f>
        <x:v>20</x:v>
      </x:c>
      <x:c r="C145" t="n">
        <x:f>IF(A145=A144,--(ABS('01 Sensory Input'!C145-'01 Sensory Input'!C144)&gt;=$B$3),0)</x:f>
        <x:v>0</x:v>
      </x:c>
      <x:c r="D145" t="n">
        <x:f>IF(A145=A144,--(ABS('01 Sensory Input'!D145-'01 Sensory Input'!D144)&gt;=$B$3),0)</x:f>
        <x:v>1</x:v>
      </x:c>
      <x:c r="E145" t="n">
        <x:f>IF(A145=A144,--(ABS('01 Sensory Input'!E145-'01 Sensory Input'!E144)&gt;=$B$3),0)</x:f>
        <x:v>1</x:v>
      </x:c>
      <x:c r="F145" t="n">
        <x:f>IF(A145=A144,--(ABS('01 Sensory Input'!F145-'01 Sensory Input'!F144)&gt;=$B$3),0)</x:f>
        <x:v>0</x:v>
      </x:c>
      <x:c r="G145" t="n">
        <x:f>IF(A145=A144,--(ABS('01 Sensory Input'!G145-'01 Sensory Input'!G144)&gt;=$B$3),0)</x:f>
        <x:v>0</x:v>
      </x:c>
      <x:c r="H145" t="n">
        <x:f>--(SUM(C145:G145)&gt;=2)</x:f>
        <x:v>1</x:v>
      </x:c>
    </x:row>
    <x:row r="146">
      <x:c r="A146" t="n">
        <x:f>'01 Sensory Input'!A146</x:f>
        <x:v>8</x:v>
      </x:c>
      <x:c r="B146" t="n">
        <x:f>'01 Sensory Input'!B146</x:f>
        <x:v>1</x:v>
      </x:c>
      <x:c r="C146" t="n">
        <x:f>IF(A146=A145,--(ABS('01 Sensory Input'!C146-'01 Sensory Input'!C145)&gt;=$B$3),0)</x:f>
        <x:v>0</x:v>
      </x:c>
      <x:c r="D146" t="n">
        <x:f>IF(A146=A145,--(ABS('01 Sensory Input'!D146-'01 Sensory Input'!D145)&gt;=$B$3),0)</x:f>
        <x:v>0</x:v>
      </x:c>
      <x:c r="E146" t="n">
        <x:f>IF(A146=A145,--(ABS('01 Sensory Input'!E146-'01 Sensory Input'!E145)&gt;=$B$3),0)</x:f>
        <x:v>0</x:v>
      </x:c>
      <x:c r="F146" t="n">
        <x:f>IF(A146=A145,--(ABS('01 Sensory Input'!F146-'01 Sensory Input'!F145)&gt;=$B$3),0)</x:f>
        <x:v>0</x:v>
      </x:c>
      <x:c r="G146" t="n">
        <x:f>IF(A146=A145,--(ABS('01 Sensory Input'!G146-'01 Sensory Input'!G145)&gt;=$B$3),0)</x:f>
        <x:v>0</x:v>
      </x:c>
      <x:c r="H146" t="n">
        <x:f>--(SUM(C146:G146)&gt;=2)</x:f>
        <x:v>0</x:v>
      </x:c>
    </x:row>
    <x:row r="147">
      <x:c r="A147" t="n">
        <x:f>'01 Sensory Input'!A147</x:f>
        <x:v>8</x:v>
      </x:c>
      <x:c r="B147" t="n">
        <x:f>'01 Sensory Input'!B147</x:f>
        <x:v>2</x:v>
      </x:c>
      <x:c r="C147" t="n">
        <x:f>IF(A147=A146,--(ABS('01 Sensory Input'!C147-'01 Sensory Input'!C146)&gt;=$B$3),0)</x:f>
        <x:v>0</x:v>
      </x:c>
      <x:c r="D147" t="n">
        <x:f>IF(A147=A146,--(ABS('01 Sensory Input'!D147-'01 Sensory Input'!D146)&gt;=$B$3),0)</x:f>
        <x:v>0</x:v>
      </x:c>
      <x:c r="E147" t="n">
        <x:f>IF(A147=A146,--(ABS('01 Sensory Input'!E147-'01 Sensory Input'!E146)&gt;=$B$3),0)</x:f>
        <x:v>0</x:v>
      </x:c>
      <x:c r="F147" t="n">
        <x:f>IF(A147=A146,--(ABS('01 Sensory Input'!F147-'01 Sensory Input'!F146)&gt;=$B$3),0)</x:f>
        <x:v>0</x:v>
      </x:c>
      <x:c r="G147" t="n">
        <x:f>IF(A147=A146,--(ABS('01 Sensory Input'!G147-'01 Sensory Input'!G146)&gt;=$B$3),0)</x:f>
        <x:v>0</x:v>
      </x:c>
      <x:c r="H147" t="n">
        <x:f>--(SUM(C147:G147)&gt;=2)</x:f>
        <x:v>0</x:v>
      </x:c>
    </x:row>
    <x:row r="148">
      <x:c r="A148" t="n">
        <x:f>'01 Sensory Input'!A148</x:f>
        <x:v>8</x:v>
      </x:c>
      <x:c r="B148" t="n">
        <x:f>'01 Sensory Input'!B148</x:f>
        <x:v>3</x:v>
      </x:c>
      <x:c r="C148" t="n">
        <x:f>IF(A148=A147,--(ABS('01 Sensory Input'!C148-'01 Sensory Input'!C147)&gt;=$B$3),0)</x:f>
        <x:v>0</x:v>
      </x:c>
      <x:c r="D148" t="n">
        <x:f>IF(A148=A147,--(ABS('01 Sensory Input'!D148-'01 Sensory Input'!D147)&gt;=$B$3),0)</x:f>
        <x:v>0</x:v>
      </x:c>
      <x:c r="E148" t="n">
        <x:f>IF(A148=A147,--(ABS('01 Sensory Input'!E148-'01 Sensory Input'!E147)&gt;=$B$3),0)</x:f>
        <x:v>0</x:v>
      </x:c>
      <x:c r="F148" t="n">
        <x:f>IF(A148=A147,--(ABS('01 Sensory Input'!F148-'01 Sensory Input'!F147)&gt;=$B$3),0)</x:f>
        <x:v>0</x:v>
      </x:c>
      <x:c r="G148" t="n">
        <x:f>IF(A148=A147,--(ABS('01 Sensory Input'!G148-'01 Sensory Input'!G147)&gt;=$B$3),0)</x:f>
        <x:v>1</x:v>
      </x:c>
      <x:c r="H148" t="n">
        <x:f>--(SUM(C148:G148)&gt;=2)</x:f>
        <x:v>0</x:v>
      </x:c>
    </x:row>
    <x:row r="149">
      <x:c r="A149" t="n">
        <x:f>'01 Sensory Input'!A149</x:f>
        <x:v>8</x:v>
      </x:c>
      <x:c r="B149" t="n">
        <x:f>'01 Sensory Input'!B149</x:f>
        <x:v>4</x:v>
      </x:c>
      <x:c r="C149" t="n">
        <x:f>IF(A149=A148,--(ABS('01 Sensory Input'!C149-'01 Sensory Input'!C148)&gt;=$B$3),0)</x:f>
        <x:v>1</x:v>
      </x:c>
      <x:c r="D149" t="n">
        <x:f>IF(A149=A148,--(ABS('01 Sensory Input'!D149-'01 Sensory Input'!D148)&gt;=$B$3),0)</x:f>
        <x:v>0</x:v>
      </x:c>
      <x:c r="E149" t="n">
        <x:f>IF(A149=A148,--(ABS('01 Sensory Input'!E149-'01 Sensory Input'!E148)&gt;=$B$3),0)</x:f>
        <x:v>0</x:v>
      </x:c>
      <x:c r="F149" t="n">
        <x:f>IF(A149=A148,--(ABS('01 Sensory Input'!F149-'01 Sensory Input'!F148)&gt;=$B$3),0)</x:f>
        <x:v>0</x:v>
      </x:c>
      <x:c r="G149" t="n">
        <x:f>IF(A149=A148,--(ABS('01 Sensory Input'!G149-'01 Sensory Input'!G148)&gt;=$B$3),0)</x:f>
        <x:v>1</x:v>
      </x:c>
      <x:c r="H149" t="n">
        <x:f>--(SUM(C149:G149)&gt;=2)</x:f>
        <x:v>1</x:v>
      </x:c>
    </x:row>
    <x:row r="150">
      <x:c r="A150" t="n">
        <x:f>'01 Sensory Input'!A150</x:f>
        <x:v>8</x:v>
      </x:c>
      <x:c r="B150" t="n">
        <x:f>'01 Sensory Input'!B150</x:f>
        <x:v>5</x:v>
      </x:c>
      <x:c r="C150" t="n">
        <x:f>IF(A150=A149,--(ABS('01 Sensory Input'!C150-'01 Sensory Input'!C149)&gt;=$B$3),0)</x:f>
        <x:v>1</x:v>
      </x:c>
      <x:c r="D150" t="n">
        <x:f>IF(A150=A149,--(ABS('01 Sensory Input'!D150-'01 Sensory Input'!D149)&gt;=$B$3),0)</x:f>
        <x:v>1</x:v>
      </x:c>
      <x:c r="E150" t="n">
        <x:f>IF(A150=A149,--(ABS('01 Sensory Input'!E150-'01 Sensory Input'!E149)&gt;=$B$3),0)</x:f>
        <x:v>0</x:v>
      </x:c>
      <x:c r="F150" t="n">
        <x:f>IF(A150=A149,--(ABS('01 Sensory Input'!F150-'01 Sensory Input'!F149)&gt;=$B$3),0)</x:f>
        <x:v>0</x:v>
      </x:c>
      <x:c r="G150" t="n">
        <x:f>IF(A150=A149,--(ABS('01 Sensory Input'!G150-'01 Sensory Input'!G149)&gt;=$B$3),0)</x:f>
        <x:v>0</x:v>
      </x:c>
      <x:c r="H150" t="n">
        <x:f>--(SUM(C150:G150)&gt;=2)</x:f>
        <x:v>1</x:v>
      </x:c>
    </x:row>
    <x:row r="151">
      <x:c r="A151" t="n">
        <x:f>'01 Sensory Input'!A151</x:f>
        <x:v>8</x:v>
      </x:c>
      <x:c r="B151" t="n">
        <x:f>'01 Sensory Input'!B151</x:f>
        <x:v>6</x:v>
      </x:c>
      <x:c r="C151" t="n">
        <x:f>IF(A151=A150,--(ABS('01 Sensory Input'!C151-'01 Sensory Input'!C150)&gt;=$B$3),0)</x:f>
        <x:v>0</x:v>
      </x:c>
      <x:c r="D151" t="n">
        <x:f>IF(A151=A150,--(ABS('01 Sensory Input'!D151-'01 Sensory Input'!D150)&gt;=$B$3),0)</x:f>
        <x:v>1</x:v>
      </x:c>
      <x:c r="E151" t="n">
        <x:f>IF(A151=A150,--(ABS('01 Sensory Input'!E151-'01 Sensory Input'!E150)&gt;=$B$3),0)</x:f>
        <x:v>1</x:v>
      </x:c>
      <x:c r="F151" t="n">
        <x:f>IF(A151=A150,--(ABS('01 Sensory Input'!F151-'01 Sensory Input'!F150)&gt;=$B$3),0)</x:f>
        <x:v>0</x:v>
      </x:c>
      <x:c r="G151" t="n">
        <x:f>IF(A151=A150,--(ABS('01 Sensory Input'!G151-'01 Sensory Input'!G150)&gt;=$B$3),0)</x:f>
        <x:v>1</x:v>
      </x:c>
      <x:c r="H151" t="n">
        <x:f>--(SUM(C151:G151)&gt;=2)</x:f>
        <x:v>1</x:v>
      </x:c>
    </x:row>
    <x:row r="152">
      <x:c r="A152" t="n">
        <x:f>'01 Sensory Input'!A152</x:f>
        <x:v>8</x:v>
      </x:c>
      <x:c r="B152" t="n">
        <x:f>'01 Sensory Input'!B152</x:f>
        <x:v>7</x:v>
      </x:c>
      <x:c r="C152" t="n">
        <x:f>IF(A152=A151,--(ABS('01 Sensory Input'!C152-'01 Sensory Input'!C151)&gt;=$B$3),0)</x:f>
        <x:v>0</x:v>
      </x:c>
      <x:c r="D152" t="n">
        <x:f>IF(A152=A151,--(ABS('01 Sensory Input'!D152-'01 Sensory Input'!D151)&gt;=$B$3),0)</x:f>
        <x:v>0</x:v>
      </x:c>
      <x:c r="E152" t="n">
        <x:f>IF(A152=A151,--(ABS('01 Sensory Input'!E152-'01 Sensory Input'!E151)&gt;=$B$3),0)</x:f>
        <x:v>1</x:v>
      </x:c>
      <x:c r="F152" t="n">
        <x:f>IF(A152=A151,--(ABS('01 Sensory Input'!F152-'01 Sensory Input'!F151)&gt;=$B$3),0)</x:f>
        <x:v>1</x:v>
      </x:c>
      <x:c r="G152" t="n">
        <x:f>IF(A152=A151,--(ABS('01 Sensory Input'!G152-'01 Sensory Input'!G151)&gt;=$B$3),0)</x:f>
        <x:v>1</x:v>
      </x:c>
      <x:c r="H152" t="n">
        <x:f>--(SUM(C152:G152)&gt;=2)</x:f>
        <x:v>1</x:v>
      </x:c>
    </x:row>
    <x:row r="153">
      <x:c r="A153" t="n">
        <x:f>'01 Sensory Input'!A153</x:f>
        <x:v>8</x:v>
      </x:c>
      <x:c r="B153" t="n">
        <x:f>'01 Sensory Input'!B153</x:f>
        <x:v>8</x:v>
      </x:c>
      <x:c r="C153" t="n">
        <x:f>IF(A153=A152,--(ABS('01 Sensory Input'!C153-'01 Sensory Input'!C152)&gt;=$B$3),0)</x:f>
        <x:v>1</x:v>
      </x:c>
      <x:c r="D153" t="n">
        <x:f>IF(A153=A152,--(ABS('01 Sensory Input'!D153-'01 Sensory Input'!D152)&gt;=$B$3),0)</x:f>
        <x:v>0</x:v>
      </x:c>
      <x:c r="E153" t="n">
        <x:f>IF(A153=A152,--(ABS('01 Sensory Input'!E153-'01 Sensory Input'!E152)&gt;=$B$3),0)</x:f>
        <x:v>0</x:v>
      </x:c>
      <x:c r="F153" t="n">
        <x:f>IF(A153=A152,--(ABS('01 Sensory Input'!F153-'01 Sensory Input'!F152)&gt;=$B$3),0)</x:f>
        <x:v>1</x:v>
      </x:c>
      <x:c r="G153" t="n">
        <x:f>IF(A153=A152,--(ABS('01 Sensory Input'!G153-'01 Sensory Input'!G152)&gt;=$B$3),0)</x:f>
        <x:v>0</x:v>
      </x:c>
      <x:c r="H153" t="n">
        <x:f>--(SUM(C153:G153)&gt;=2)</x:f>
        <x:v>1</x:v>
      </x:c>
    </x:row>
    <x:row r="154">
      <x:c r="A154" t="n">
        <x:f>'01 Sensory Input'!A154</x:f>
        <x:v>8</x:v>
      </x:c>
      <x:c r="B154" t="n">
        <x:f>'01 Sensory Input'!B154</x:f>
        <x:v>9</x:v>
      </x:c>
      <x:c r="C154" t="n">
        <x:f>IF(A154=A153,--(ABS('01 Sensory Input'!C154-'01 Sensory Input'!C153)&gt;=$B$3),0)</x:f>
        <x:v>1</x:v>
      </x:c>
      <x:c r="D154" t="n">
        <x:f>IF(A154=A153,--(ABS('01 Sensory Input'!D154-'01 Sensory Input'!D153)&gt;=$B$3),0)</x:f>
        <x:v>0</x:v>
      </x:c>
      <x:c r="E154" t="n">
        <x:f>IF(A154=A153,--(ABS('01 Sensory Input'!E154-'01 Sensory Input'!E153)&gt;=$B$3),0)</x:f>
        <x:v>0</x:v>
      </x:c>
      <x:c r="F154" t="n">
        <x:f>IF(A154=A153,--(ABS('01 Sensory Input'!F154-'01 Sensory Input'!F153)&gt;=$B$3),0)</x:f>
        <x:v>0</x:v>
      </x:c>
      <x:c r="G154" t="n">
        <x:f>IF(A154=A153,--(ABS('01 Sensory Input'!G154-'01 Sensory Input'!G153)&gt;=$B$3),0)</x:f>
        <x:v>0</x:v>
      </x:c>
      <x:c r="H154" t="n">
        <x:f>--(SUM(C154:G154)&gt;=2)</x:f>
        <x:v>0</x:v>
      </x:c>
    </x:row>
    <x:row r="155">
      <x:c r="A155" t="n">
        <x:f>'01 Sensory Input'!A155</x:f>
        <x:v>8</x:v>
      </x:c>
      <x:c r="B155" t="n">
        <x:f>'01 Sensory Input'!B155</x:f>
        <x:v>10</x:v>
      </x:c>
      <x:c r="C155" t="n">
        <x:f>IF(A155=A154,--(ABS('01 Sensory Input'!C155-'01 Sensory Input'!C154)&gt;=$B$3),0)</x:f>
        <x:v>0</x:v>
      </x:c>
      <x:c r="D155" t="n">
        <x:f>IF(A155=A154,--(ABS('01 Sensory Input'!D155-'01 Sensory Input'!D154)&gt;=$B$3),0)</x:f>
        <x:v>1</x:v>
      </x:c>
      <x:c r="E155" t="n">
        <x:f>IF(A155=A154,--(ABS('01 Sensory Input'!E155-'01 Sensory Input'!E154)&gt;=$B$3),0)</x:f>
        <x:v>0</x:v>
      </x:c>
      <x:c r="F155" t="n">
        <x:f>IF(A155=A154,--(ABS('01 Sensory Input'!F155-'01 Sensory Input'!F154)&gt;=$B$3),0)</x:f>
        <x:v>0</x:v>
      </x:c>
      <x:c r="G155" t="n">
        <x:f>IF(A155=A154,--(ABS('01 Sensory Input'!G155-'01 Sensory Input'!G154)&gt;=$B$3),0)</x:f>
        <x:v>0</x:v>
      </x:c>
      <x:c r="H155" t="n">
        <x:f>--(SUM(C155:G155)&gt;=2)</x:f>
        <x:v>0</x:v>
      </x:c>
    </x:row>
    <x:row r="156">
      <x:c r="A156" t="n">
        <x:f>'01 Sensory Input'!A156</x:f>
        <x:v>8</x:v>
      </x:c>
      <x:c r="B156" t="n">
        <x:f>'01 Sensory Input'!B156</x:f>
        <x:v>11</x:v>
      </x:c>
      <x:c r="C156" t="n">
        <x:f>IF(A156=A155,--(ABS('01 Sensory Input'!C156-'01 Sensory Input'!C155)&gt;=$B$3),0)</x:f>
        <x:v>0</x:v>
      </x:c>
      <x:c r="D156" t="n">
        <x:f>IF(A156=A155,--(ABS('01 Sensory Input'!D156-'01 Sensory Input'!D155)&gt;=$B$3),0)</x:f>
        <x:v>1</x:v>
      </x:c>
      <x:c r="E156" t="n">
        <x:f>IF(A156=A155,--(ABS('01 Sensory Input'!E156-'01 Sensory Input'!E155)&gt;=$B$3),0)</x:f>
        <x:v>0</x:v>
      </x:c>
      <x:c r="F156" t="n">
        <x:f>IF(A156=A155,--(ABS('01 Sensory Input'!F156-'01 Sensory Input'!F155)&gt;=$B$3),0)</x:f>
        <x:v>0</x:v>
      </x:c>
      <x:c r="G156" t="n">
        <x:f>IF(A156=A155,--(ABS('01 Sensory Input'!G156-'01 Sensory Input'!G155)&gt;=$B$3),0)</x:f>
        <x:v>0</x:v>
      </x:c>
      <x:c r="H156" t="n">
        <x:f>--(SUM(C156:G156)&gt;=2)</x:f>
        <x:v>0</x:v>
      </x:c>
    </x:row>
    <x:row r="157">
      <x:c r="A157" t="n">
        <x:f>'01 Sensory Input'!A157</x:f>
        <x:v>8</x:v>
      </x:c>
      <x:c r="B157" t="n">
        <x:f>'01 Sensory Input'!B157</x:f>
        <x:v>12</x:v>
      </x:c>
      <x:c r="C157" t="n">
        <x:f>IF(A157=A156,--(ABS('01 Sensory Input'!C157-'01 Sensory Input'!C156)&gt;=$B$3),0)</x:f>
        <x:v>1</x:v>
      </x:c>
      <x:c r="D157" t="n">
        <x:f>IF(A157=A156,--(ABS('01 Sensory Input'!D157-'01 Sensory Input'!D156)&gt;=$B$3),0)</x:f>
        <x:v>0</x:v>
      </x:c>
      <x:c r="E157" t="n">
        <x:f>IF(A157=A156,--(ABS('01 Sensory Input'!E157-'01 Sensory Input'!E156)&gt;=$B$3),0)</x:f>
        <x:v>1</x:v>
      </x:c>
      <x:c r="F157" t="n">
        <x:f>IF(A157=A156,--(ABS('01 Sensory Input'!F157-'01 Sensory Input'!F156)&gt;=$B$3),0)</x:f>
        <x:v>0</x:v>
      </x:c>
      <x:c r="G157" t="n">
        <x:f>IF(A157=A156,--(ABS('01 Sensory Input'!G157-'01 Sensory Input'!G156)&gt;=$B$3),0)</x:f>
        <x:v>1</x:v>
      </x:c>
      <x:c r="H157" t="n">
        <x:f>--(SUM(C157:G157)&gt;=2)</x:f>
        <x:v>1</x:v>
      </x:c>
    </x:row>
    <x:row r="158">
      <x:c r="A158" t="n">
        <x:f>'01 Sensory Input'!A158</x:f>
        <x:v>8</x:v>
      </x:c>
      <x:c r="B158" t="n">
        <x:f>'01 Sensory Input'!B158</x:f>
        <x:v>13</x:v>
      </x:c>
      <x:c r="C158" t="n">
        <x:f>IF(A158=A157,--(ABS('01 Sensory Input'!C158-'01 Sensory Input'!C157)&gt;=$B$3),0)</x:f>
        <x:v>1</x:v>
      </x:c>
      <x:c r="D158" t="n">
        <x:f>IF(A158=A157,--(ABS('01 Sensory Input'!D158-'01 Sensory Input'!D157)&gt;=$B$3),0)</x:f>
        <x:v>0</x:v>
      </x:c>
      <x:c r="E158" t="n">
        <x:f>IF(A158=A157,--(ABS('01 Sensory Input'!E158-'01 Sensory Input'!E157)&gt;=$B$3),0)</x:f>
        <x:v>1</x:v>
      </x:c>
      <x:c r="F158" t="n">
        <x:f>IF(A158=A157,--(ABS('01 Sensory Input'!F158-'01 Sensory Input'!F157)&gt;=$B$3),0)</x:f>
        <x:v>0</x:v>
      </x:c>
      <x:c r="G158" t="n">
        <x:f>IF(A158=A157,--(ABS('01 Sensory Input'!G158-'01 Sensory Input'!G157)&gt;=$B$3),0)</x:f>
        <x:v>1</x:v>
      </x:c>
      <x:c r="H158" t="n">
        <x:f>--(SUM(C158:G158)&gt;=2)</x:f>
        <x:v>1</x:v>
      </x:c>
    </x:row>
    <x:row r="159">
      <x:c r="A159" t="n">
        <x:f>'01 Sensory Input'!A159</x:f>
        <x:v>8</x:v>
      </x:c>
      <x:c r="B159" t="n">
        <x:f>'01 Sensory Input'!B159</x:f>
        <x:v>14</x:v>
      </x:c>
      <x:c r="C159" t="n">
        <x:f>IF(A159=A158,--(ABS('01 Sensory Input'!C159-'01 Sensory Input'!C158)&gt;=$B$3),0)</x:f>
        <x:v>0</x:v>
      </x:c>
      <x:c r="D159" t="n">
        <x:f>IF(A159=A158,--(ABS('01 Sensory Input'!D159-'01 Sensory Input'!D158)&gt;=$B$3),0)</x:f>
        <x:v>0</x:v>
      </x:c>
      <x:c r="E159" t="n">
        <x:f>IF(A159=A158,--(ABS('01 Sensory Input'!E159-'01 Sensory Input'!E158)&gt;=$B$3),0)</x:f>
        <x:v>0</x:v>
      </x:c>
      <x:c r="F159" t="n">
        <x:f>IF(A159=A158,--(ABS('01 Sensory Input'!F159-'01 Sensory Input'!F158)&gt;=$B$3),0)</x:f>
        <x:v>1</x:v>
      </x:c>
      <x:c r="G159" t="n">
        <x:f>IF(A159=A158,--(ABS('01 Sensory Input'!G159-'01 Sensory Input'!G158)&gt;=$B$3),0)</x:f>
        <x:v>0</x:v>
      </x:c>
      <x:c r="H159" t="n">
        <x:f>--(SUM(C159:G159)&gt;=2)</x:f>
        <x:v>0</x:v>
      </x:c>
    </x:row>
    <x:row r="160">
      <x:c r="A160" t="n">
        <x:f>'01 Sensory Input'!A160</x:f>
        <x:v>8</x:v>
      </x:c>
      <x:c r="B160" t="n">
        <x:f>'01 Sensory Input'!B160</x:f>
        <x:v>15</x:v>
      </x:c>
      <x:c r="C160" t="n">
        <x:f>IF(A160=A159,--(ABS('01 Sensory Input'!C160-'01 Sensory Input'!C159)&gt;=$B$3),0)</x:f>
        <x:v>0</x:v>
      </x:c>
      <x:c r="D160" t="n">
        <x:f>IF(A160=A159,--(ABS('01 Sensory Input'!D160-'01 Sensory Input'!D159)&gt;=$B$3),0)</x:f>
        <x:v>0</x:v>
      </x:c>
      <x:c r="E160" t="n">
        <x:f>IF(A160=A159,--(ABS('01 Sensory Input'!E160-'01 Sensory Input'!E159)&gt;=$B$3),0)</x:f>
        <x:v>0</x:v>
      </x:c>
      <x:c r="F160" t="n">
        <x:f>IF(A160=A159,--(ABS('01 Sensory Input'!F160-'01 Sensory Input'!F159)&gt;=$B$3),0)</x:f>
        <x:v>1</x:v>
      </x:c>
      <x:c r="G160" t="n">
        <x:f>IF(A160=A159,--(ABS('01 Sensory Input'!G160-'01 Sensory Input'!G159)&gt;=$B$3),0)</x:f>
        <x:v>0</x:v>
      </x:c>
      <x:c r="H160" t="n">
        <x:f>--(SUM(C160:G160)&gt;=2)</x:f>
        <x:v>0</x:v>
      </x:c>
    </x:row>
    <x:row r="161">
      <x:c r="A161" t="n">
        <x:f>'01 Sensory Input'!A161</x:f>
        <x:v>8</x:v>
      </x:c>
      <x:c r="B161" t="n">
        <x:f>'01 Sensory Input'!B161</x:f>
        <x:v>16</x:v>
      </x:c>
      <x:c r="C161" t="n">
        <x:f>IF(A161=A160,--(ABS('01 Sensory Input'!C161-'01 Sensory Input'!C160)&gt;=$B$3),0)</x:f>
        <x:v>1</x:v>
      </x:c>
      <x:c r="D161" t="n">
        <x:f>IF(A161=A160,--(ABS('01 Sensory Input'!D161-'01 Sensory Input'!D160)&gt;=$B$3),0)</x:f>
        <x:v>0</x:v>
      </x:c>
      <x:c r="E161" t="n">
        <x:f>IF(A161=A160,--(ABS('01 Sensory Input'!E161-'01 Sensory Input'!E160)&gt;=$B$3),0)</x:f>
        <x:v>0</x:v>
      </x:c>
      <x:c r="F161" t="n">
        <x:f>IF(A161=A160,--(ABS('01 Sensory Input'!F161-'01 Sensory Input'!F160)&gt;=$B$3),0)</x:f>
        <x:v>0</x:v>
      </x:c>
      <x:c r="G161" t="n">
        <x:f>IF(A161=A160,--(ABS('01 Sensory Input'!G161-'01 Sensory Input'!G160)&gt;=$B$3),0)</x:f>
        <x:v>0</x:v>
      </x:c>
      <x:c r="H161" t="n">
        <x:f>--(SUM(C161:G161)&gt;=2)</x:f>
        <x:v>0</x:v>
      </x:c>
    </x:row>
    <x:row r="162">
      <x:c r="A162" t="n">
        <x:f>'01 Sensory Input'!A162</x:f>
        <x:v>8</x:v>
      </x:c>
      <x:c r="B162" t="n">
        <x:f>'01 Sensory Input'!B162</x:f>
        <x:v>17</x:v>
      </x:c>
      <x:c r="C162" t="n">
        <x:f>IF(A162=A161,--(ABS('01 Sensory Input'!C162-'01 Sensory Input'!C161)&gt;=$B$3),0)</x:f>
        <x:v>1</x:v>
      </x:c>
      <x:c r="D162" t="n">
        <x:f>IF(A162=A161,--(ABS('01 Sensory Input'!D162-'01 Sensory Input'!D161)&gt;=$B$3),0)</x:f>
        <x:v>0</x:v>
      </x:c>
      <x:c r="E162" t="n">
        <x:f>IF(A162=A161,--(ABS('01 Sensory Input'!E162-'01 Sensory Input'!E161)&gt;=$B$3),0)</x:f>
        <x:v>0</x:v>
      </x:c>
      <x:c r="F162" t="n">
        <x:f>IF(A162=A161,--(ABS('01 Sensory Input'!F162-'01 Sensory Input'!F161)&gt;=$B$3),0)</x:f>
        <x:v>0</x:v>
      </x:c>
      <x:c r="G162" t="n">
        <x:f>IF(A162=A161,--(ABS('01 Sensory Input'!G162-'01 Sensory Input'!G161)&gt;=$B$3),0)</x:f>
        <x:v>0</x:v>
      </x:c>
      <x:c r="H162" t="n">
        <x:f>--(SUM(C162:G162)&gt;=2)</x:f>
        <x:v>0</x:v>
      </x:c>
    </x:row>
    <x:row r="163">
      <x:c r="A163" t="n">
        <x:f>'01 Sensory Input'!A163</x:f>
        <x:v>8</x:v>
      </x:c>
      <x:c r="B163" t="n">
        <x:f>'01 Sensory Input'!B163</x:f>
        <x:v>18</x:v>
      </x:c>
      <x:c r="C163" t="n">
        <x:f>IF(A163=A162,--(ABS('01 Sensory Input'!C163-'01 Sensory Input'!C162)&gt;=$B$3),0)</x:f>
        <x:v>0</x:v>
      </x:c>
      <x:c r="D163" t="n">
        <x:f>IF(A163=A162,--(ABS('01 Sensory Input'!D163-'01 Sensory Input'!D162)&gt;=$B$3),0)</x:f>
        <x:v>0</x:v>
      </x:c>
      <x:c r="E163" t="n">
        <x:f>IF(A163=A162,--(ABS('01 Sensory Input'!E163-'01 Sensory Input'!E162)&gt;=$B$3),0)</x:f>
        <x:v>1</x:v>
      </x:c>
      <x:c r="F163" t="n">
        <x:f>IF(A163=A162,--(ABS('01 Sensory Input'!F163-'01 Sensory Input'!F162)&gt;=$B$3),0)</x:f>
        <x:v>0</x:v>
      </x:c>
      <x:c r="G163" t="n">
        <x:f>IF(A163=A162,--(ABS('01 Sensory Input'!G163-'01 Sensory Input'!G162)&gt;=$B$3),0)</x:f>
        <x:v>1</x:v>
      </x:c>
      <x:c r="H163" t="n">
        <x:f>--(SUM(C163:G163)&gt;=2)</x:f>
        <x:v>1</x:v>
      </x:c>
    </x:row>
    <x:row r="164">
      <x:c r="A164" t="n">
        <x:f>'01 Sensory Input'!A164</x:f>
        <x:v>8</x:v>
      </x:c>
      <x:c r="B164" t="n">
        <x:f>'01 Sensory Input'!B164</x:f>
        <x:v>19</x:v>
      </x:c>
      <x:c r="C164" t="n">
        <x:f>IF(A164=A163,--(ABS('01 Sensory Input'!C164-'01 Sensory Input'!C163)&gt;=$B$3),0)</x:f>
        <x:v>0</x:v>
      </x:c>
      <x:c r="D164" t="n">
        <x:f>IF(A164=A163,--(ABS('01 Sensory Input'!D164-'01 Sensory Input'!D163)&gt;=$B$3),0)</x:f>
        <x:v>0</x:v>
      </x:c>
      <x:c r="E164" t="n">
        <x:f>IF(A164=A163,--(ABS('01 Sensory Input'!E164-'01 Sensory Input'!E163)&gt;=$B$3),0)</x:f>
        <x:v>1</x:v>
      </x:c>
      <x:c r="F164" t="n">
        <x:f>IF(A164=A163,--(ABS('01 Sensory Input'!F164-'01 Sensory Input'!F163)&gt;=$B$3),0)</x:f>
        <x:v>0</x:v>
      </x:c>
      <x:c r="G164" t="n">
        <x:f>IF(A164=A163,--(ABS('01 Sensory Input'!G164-'01 Sensory Input'!G163)&gt;=$B$3),0)</x:f>
        <x:v>1</x:v>
      </x:c>
      <x:c r="H164" t="n">
        <x:f>--(SUM(C164:G164)&gt;=2)</x:f>
        <x:v>1</x:v>
      </x:c>
    </x:row>
    <x:row r="165">
      <x:c r="A165" t="n">
        <x:f>'01 Sensory Input'!A165</x:f>
        <x:v>8</x:v>
      </x:c>
      <x:c r="B165" t="n">
        <x:f>'01 Sensory Input'!B165</x:f>
        <x:v>20</x:v>
      </x:c>
      <x:c r="C165" t="n">
        <x:f>IF(A165=A164,--(ABS('01 Sensory Input'!C165-'01 Sensory Input'!C164)&gt;=$B$3),0)</x:f>
        <x:v>1</x:v>
      </x:c>
      <x:c r="D165" t="n">
        <x:f>IF(A165=A164,--(ABS('01 Sensory Input'!D165-'01 Sensory Input'!D164)&gt;=$B$3),0)</x:f>
        <x:v>1</x:v>
      </x:c>
      <x:c r="E165" t="n">
        <x:f>IF(A165=A164,--(ABS('01 Sensory Input'!E165-'01 Sensory Input'!E164)&gt;=$B$3),0)</x:f>
        <x:v>0</x:v>
      </x:c>
      <x:c r="F165" t="n">
        <x:f>IF(A165=A164,--(ABS('01 Sensory Input'!F165-'01 Sensory Input'!F164)&gt;=$B$3),0)</x:f>
        <x:v>0</x:v>
      </x:c>
      <x:c r="G165" t="n">
        <x:f>IF(A165=A164,--(ABS('01 Sensory Input'!G165-'01 Sensory Input'!G164)&gt;=$B$3),0)</x:f>
        <x:v>0</x:v>
      </x:c>
      <x:c r="H165" t="n">
        <x:f>--(SUM(C165:G165)&gt;=2)</x:f>
        <x:v>1</x:v>
      </x:c>
    </x:row>
    <x:row r="166">
      <x:c r="A166" t="n">
        <x:f>'01 Sensory Input'!A166</x:f>
        <x:v>9</x:v>
      </x:c>
      <x:c r="B166" t="n">
        <x:f>'01 Sensory Input'!B166</x:f>
        <x:v>1</x:v>
      </x:c>
      <x:c r="C166" t="n">
        <x:f>IF(A166=A165,--(ABS('01 Sensory Input'!C166-'01 Sensory Input'!C165)&gt;=$B$3),0)</x:f>
        <x:v>0</x:v>
      </x:c>
      <x:c r="D166" t="n">
        <x:f>IF(A166=A165,--(ABS('01 Sensory Input'!D166-'01 Sensory Input'!D165)&gt;=$B$3),0)</x:f>
        <x:v>0</x:v>
      </x:c>
      <x:c r="E166" t="n">
        <x:f>IF(A166=A165,--(ABS('01 Sensory Input'!E166-'01 Sensory Input'!E165)&gt;=$B$3),0)</x:f>
        <x:v>0</x:v>
      </x:c>
      <x:c r="F166" t="n">
        <x:f>IF(A166=A165,--(ABS('01 Sensory Input'!F166-'01 Sensory Input'!F165)&gt;=$B$3),0)</x:f>
        <x:v>0</x:v>
      </x:c>
      <x:c r="G166" t="n">
        <x:f>IF(A166=A165,--(ABS('01 Sensory Input'!G166-'01 Sensory Input'!G165)&gt;=$B$3),0)</x:f>
        <x:v>0</x:v>
      </x:c>
      <x:c r="H166" t="n">
        <x:f>--(SUM(C166:G166)&gt;=2)</x:f>
        <x:v>0</x:v>
      </x:c>
    </x:row>
    <x:row r="167">
      <x:c r="A167" t="n">
        <x:f>'01 Sensory Input'!A167</x:f>
        <x:v>9</x:v>
      </x:c>
      <x:c r="B167" t="n">
        <x:f>'01 Sensory Input'!B167</x:f>
        <x:v>2</x:v>
      </x:c>
      <x:c r="C167" t="n">
        <x:f>IF(A167=A166,--(ABS('01 Sensory Input'!C167-'01 Sensory Input'!C166)&gt;=$B$3),0)</x:f>
        <x:v>1</x:v>
      </x:c>
      <x:c r="D167" t="n">
        <x:f>IF(A167=A166,--(ABS('01 Sensory Input'!D167-'01 Sensory Input'!D166)&gt;=$B$3),0)</x:f>
        <x:v>0</x:v>
      </x:c>
      <x:c r="E167" t="n">
        <x:f>IF(A167=A166,--(ABS('01 Sensory Input'!E167-'01 Sensory Input'!E166)&gt;=$B$3),0)</x:f>
        <x:v>0</x:v>
      </x:c>
      <x:c r="F167" t="n">
        <x:f>IF(A167=A166,--(ABS('01 Sensory Input'!F167-'01 Sensory Input'!F166)&gt;=$B$3),0)</x:f>
        <x:v>0</x:v>
      </x:c>
      <x:c r="G167" t="n">
        <x:f>IF(A167=A166,--(ABS('01 Sensory Input'!G167-'01 Sensory Input'!G166)&gt;=$B$3),0)</x:f>
        <x:v>0</x:v>
      </x:c>
      <x:c r="H167" t="n">
        <x:f>--(SUM(C167:G167)&gt;=2)</x:f>
        <x:v>0</x:v>
      </x:c>
    </x:row>
    <x:row r="168">
      <x:c r="A168" t="n">
        <x:f>'01 Sensory Input'!A168</x:f>
        <x:v>9</x:v>
      </x:c>
      <x:c r="B168" t="n">
        <x:f>'01 Sensory Input'!B168</x:f>
        <x:v>3</x:v>
      </x:c>
      <x:c r="C168" t="n">
        <x:f>IF(A168=A167,--(ABS('01 Sensory Input'!C168-'01 Sensory Input'!C167)&gt;=$B$3),0)</x:f>
        <x:v>1</x:v>
      </x:c>
      <x:c r="D168" t="n">
        <x:f>IF(A168=A167,--(ABS('01 Sensory Input'!D168-'01 Sensory Input'!D167)&gt;=$B$3),0)</x:f>
        <x:v>1</x:v>
      </x:c>
      <x:c r="E168" t="n">
        <x:f>IF(A168=A167,--(ABS('01 Sensory Input'!E168-'01 Sensory Input'!E167)&gt;=$B$3),0)</x:f>
        <x:v>0</x:v>
      </x:c>
      <x:c r="F168" t="n">
        <x:f>IF(A168=A167,--(ABS('01 Sensory Input'!F168-'01 Sensory Input'!F167)&gt;=$B$3),0)</x:f>
        <x:v>0</x:v>
      </x:c>
      <x:c r="G168" t="n">
        <x:f>IF(A168=A167,--(ABS('01 Sensory Input'!G168-'01 Sensory Input'!G167)&gt;=$B$3),0)</x:f>
        <x:v>0</x:v>
      </x:c>
      <x:c r="H168" t="n">
        <x:f>--(SUM(C168:G168)&gt;=2)</x:f>
        <x:v>1</x:v>
      </x:c>
    </x:row>
    <x:row r="169">
      <x:c r="A169" t="n">
        <x:f>'01 Sensory Input'!A169</x:f>
        <x:v>9</x:v>
      </x:c>
      <x:c r="B169" t="n">
        <x:f>'01 Sensory Input'!B169</x:f>
        <x:v>4</x:v>
      </x:c>
      <x:c r="C169" t="n">
        <x:f>IF(A169=A168,--(ABS('01 Sensory Input'!C169-'01 Sensory Input'!C168)&gt;=$B$3),0)</x:f>
        <x:v>1</x:v>
      </x:c>
      <x:c r="D169" t="n">
        <x:f>IF(A169=A168,--(ABS('01 Sensory Input'!D169-'01 Sensory Input'!D168)&gt;=$B$3),0)</x:f>
        <x:v>1</x:v>
      </x:c>
      <x:c r="E169" t="n">
        <x:f>IF(A169=A168,--(ABS('01 Sensory Input'!E169-'01 Sensory Input'!E168)&gt;=$B$3),0)</x:f>
        <x:v>1</x:v>
      </x:c>
      <x:c r="F169" t="n">
        <x:f>IF(A169=A168,--(ABS('01 Sensory Input'!F169-'01 Sensory Input'!F168)&gt;=$B$3),0)</x:f>
        <x:v>0</x:v>
      </x:c>
      <x:c r="G169" t="n">
        <x:f>IF(A169=A168,--(ABS('01 Sensory Input'!G169-'01 Sensory Input'!G168)&gt;=$B$3),0)</x:f>
        <x:v>0</x:v>
      </x:c>
      <x:c r="H169" t="n">
        <x:f>--(SUM(C169:G169)&gt;=2)</x:f>
        <x:v>1</x:v>
      </x:c>
    </x:row>
    <x:row r="170">
      <x:c r="A170" t="n">
        <x:f>'01 Sensory Input'!A170</x:f>
        <x:v>9</x:v>
      </x:c>
      <x:c r="B170" t="n">
        <x:f>'01 Sensory Input'!B170</x:f>
        <x:v>5</x:v>
      </x:c>
      <x:c r="C170" t="n">
        <x:f>IF(A170=A169,--(ABS('01 Sensory Input'!C170-'01 Sensory Input'!C169)&gt;=$B$3),0)</x:f>
        <x:v>1</x:v>
      </x:c>
      <x:c r="D170" t="n">
        <x:f>IF(A170=A169,--(ABS('01 Sensory Input'!D170-'01 Sensory Input'!D169)&gt;=$B$3),0)</x:f>
        <x:v>0</x:v>
      </x:c>
      <x:c r="E170" t="n">
        <x:f>IF(A170=A169,--(ABS('01 Sensory Input'!E170-'01 Sensory Input'!E169)&gt;=$B$3),0)</x:f>
        <x:v>1</x:v>
      </x:c>
      <x:c r="F170" t="n">
        <x:f>IF(A170=A169,--(ABS('01 Sensory Input'!F170-'01 Sensory Input'!F169)&gt;=$B$3),0)</x:f>
        <x:v>1</x:v>
      </x:c>
      <x:c r="G170" t="n">
        <x:f>IF(A170=A169,--(ABS('01 Sensory Input'!G170-'01 Sensory Input'!G169)&gt;=$B$3),0)</x:f>
        <x:v>0</x:v>
      </x:c>
      <x:c r="H170" t="n">
        <x:f>--(SUM(C170:G170)&gt;=2)</x:f>
        <x:v>1</x:v>
      </x:c>
    </x:row>
    <x:row r="171">
      <x:c r="A171" t="n">
        <x:f>'01 Sensory Input'!A171</x:f>
        <x:v>9</x:v>
      </x:c>
      <x:c r="B171" t="n">
        <x:f>'01 Sensory Input'!B171</x:f>
        <x:v>6</x:v>
      </x:c>
      <x:c r="C171" t="n">
        <x:f>IF(A171=A170,--(ABS('01 Sensory Input'!C171-'01 Sensory Input'!C170)&gt;=$B$3),0)</x:f>
        <x:v>1</x:v>
      </x:c>
      <x:c r="D171" t="n">
        <x:f>IF(A171=A170,--(ABS('01 Sensory Input'!D171-'01 Sensory Input'!D170)&gt;=$B$3),0)</x:f>
        <x:v>1</x:v>
      </x:c>
      <x:c r="E171" t="n">
        <x:f>IF(A171=A170,--(ABS('01 Sensory Input'!E171-'01 Sensory Input'!E170)&gt;=$B$3),0)</x:f>
        <x:v>0</x:v>
      </x:c>
      <x:c r="F171" t="n">
        <x:f>IF(A171=A170,--(ABS('01 Sensory Input'!F171-'01 Sensory Input'!F170)&gt;=$B$3),0)</x:f>
        <x:v>1</x:v>
      </x:c>
      <x:c r="G171" t="n">
        <x:f>IF(A171=A170,--(ABS('01 Sensory Input'!G171-'01 Sensory Input'!G170)&gt;=$B$3),0)</x:f>
        <x:v>0</x:v>
      </x:c>
      <x:c r="H171" t="n">
        <x:f>--(SUM(C171:G171)&gt;=2)</x:f>
        <x:v>1</x:v>
      </x:c>
    </x:row>
    <x:row r="172">
      <x:c r="A172" t="n">
        <x:f>'01 Sensory Input'!A172</x:f>
        <x:v>9</x:v>
      </x:c>
      <x:c r="B172" t="n">
        <x:f>'01 Sensory Input'!B172</x:f>
        <x:v>7</x:v>
      </x:c>
      <x:c r="C172" t="n">
        <x:f>IF(A172=A171,--(ABS('01 Sensory Input'!C172-'01 Sensory Input'!C171)&gt;=$B$3),0)</x:f>
        <x:v>1</x:v>
      </x:c>
      <x:c r="D172" t="n">
        <x:f>IF(A172=A171,--(ABS('01 Sensory Input'!D172-'01 Sensory Input'!D171)&gt;=$B$3),0)</x:f>
        <x:v>1</x:v>
      </x:c>
      <x:c r="E172" t="n">
        <x:f>IF(A172=A171,--(ABS('01 Sensory Input'!E172-'01 Sensory Input'!E171)&gt;=$B$3),0)</x:f>
        <x:v>0</x:v>
      </x:c>
      <x:c r="F172" t="n">
        <x:f>IF(A172=A171,--(ABS('01 Sensory Input'!F172-'01 Sensory Input'!F171)&gt;=$B$3),0)</x:f>
        <x:v>0</x:v>
      </x:c>
      <x:c r="G172" t="n">
        <x:f>IF(A172=A171,--(ABS('01 Sensory Input'!G172-'01 Sensory Input'!G171)&gt;=$B$3),0)</x:f>
        <x:v>1</x:v>
      </x:c>
      <x:c r="H172" t="n">
        <x:f>--(SUM(C172:G172)&gt;=2)</x:f>
        <x:v>1</x:v>
      </x:c>
    </x:row>
    <x:row r="173">
      <x:c r="A173" t="n">
        <x:f>'01 Sensory Input'!A173</x:f>
        <x:v>9</x:v>
      </x:c>
      <x:c r="B173" t="n">
        <x:f>'01 Sensory Input'!B173</x:f>
        <x:v>8</x:v>
      </x:c>
      <x:c r="C173" t="n">
        <x:f>IF(A173=A172,--(ABS('01 Sensory Input'!C173-'01 Sensory Input'!C172)&gt;=$B$3),0)</x:f>
        <x:v>1</x:v>
      </x:c>
      <x:c r="D173" t="n">
        <x:f>IF(A173=A172,--(ABS('01 Sensory Input'!D173-'01 Sensory Input'!D172)&gt;=$B$3),0)</x:f>
        <x:v>0</x:v>
      </x:c>
      <x:c r="E173" t="n">
        <x:f>IF(A173=A172,--(ABS('01 Sensory Input'!E173-'01 Sensory Input'!E172)&gt;=$B$3),0)</x:f>
        <x:v>1</x:v>
      </x:c>
      <x:c r="F173" t="n">
        <x:f>IF(A173=A172,--(ABS('01 Sensory Input'!F173-'01 Sensory Input'!F172)&gt;=$B$3),0)</x:f>
        <x:v>0</x:v>
      </x:c>
      <x:c r="G173" t="n">
        <x:f>IF(A173=A172,--(ABS('01 Sensory Input'!G173-'01 Sensory Input'!G172)&gt;=$B$3),0)</x:f>
        <x:v>0</x:v>
      </x:c>
      <x:c r="H173" t="n">
        <x:f>--(SUM(C173:G173)&gt;=2)</x:f>
        <x:v>1</x:v>
      </x:c>
    </x:row>
    <x:row r="174">
      <x:c r="A174" t="n">
        <x:f>'01 Sensory Input'!A174</x:f>
        <x:v>9</x:v>
      </x:c>
      <x:c r="B174" t="n">
        <x:f>'01 Sensory Input'!B174</x:f>
        <x:v>9</x:v>
      </x:c>
      <x:c r="C174" t="n">
        <x:f>IF(A174=A173,--(ABS('01 Sensory Input'!C174-'01 Sensory Input'!C173)&gt;=$B$3),0)</x:f>
        <x:v>1</x:v>
      </x:c>
      <x:c r="D174" t="n">
        <x:f>IF(A174=A173,--(ABS('01 Sensory Input'!D174-'01 Sensory Input'!D173)&gt;=$B$3),0)</x:f>
        <x:v>1</x:v>
      </x:c>
      <x:c r="E174" t="n">
        <x:f>IF(A174=A173,--(ABS('01 Sensory Input'!E174-'01 Sensory Input'!E173)&gt;=$B$3),0)</x:f>
        <x:v>1</x:v>
      </x:c>
      <x:c r="F174" t="n">
        <x:f>IF(A174=A173,--(ABS('01 Sensory Input'!F174-'01 Sensory Input'!F173)&gt;=$B$3),0)</x:f>
        <x:v>0</x:v>
      </x:c>
      <x:c r="G174" t="n">
        <x:f>IF(A174=A173,--(ABS('01 Sensory Input'!G174-'01 Sensory Input'!G173)&gt;=$B$3),0)</x:f>
        <x:v>0</x:v>
      </x:c>
      <x:c r="H174" t="n">
        <x:f>--(SUM(C174:G174)&gt;=2)</x:f>
        <x:v>1</x:v>
      </x:c>
    </x:row>
    <x:row r="175">
      <x:c r="A175" t="n">
        <x:f>'01 Sensory Input'!A175</x:f>
        <x:v>9</x:v>
      </x:c>
      <x:c r="B175" t="n">
        <x:f>'01 Sensory Input'!B175</x:f>
        <x:v>10</x:v>
      </x:c>
      <x:c r="C175" t="n">
        <x:f>IF(A175=A174,--(ABS('01 Sensory Input'!C175-'01 Sensory Input'!C174)&gt;=$B$3),0)</x:f>
        <x:v>1</x:v>
      </x:c>
      <x:c r="D175" t="n">
        <x:f>IF(A175=A174,--(ABS('01 Sensory Input'!D175-'01 Sensory Input'!D174)&gt;=$B$3),0)</x:f>
        <x:v>1</x:v>
      </x:c>
      <x:c r="E175" t="n">
        <x:f>IF(A175=A174,--(ABS('01 Sensory Input'!E175-'01 Sensory Input'!E174)&gt;=$B$3),0)</x:f>
        <x:v>0</x:v>
      </x:c>
      <x:c r="F175" t="n">
        <x:f>IF(A175=A174,--(ABS('01 Sensory Input'!F175-'01 Sensory Input'!F174)&gt;=$B$3),0)</x:f>
        <x:v>1</x:v>
      </x:c>
      <x:c r="G175" t="n">
        <x:f>IF(A175=A174,--(ABS('01 Sensory Input'!G175-'01 Sensory Input'!G174)&gt;=$B$3),0)</x:f>
        <x:v>0</x:v>
      </x:c>
      <x:c r="H175" t="n">
        <x:f>--(SUM(C175:G175)&gt;=2)</x:f>
        <x:v>1</x:v>
      </x:c>
    </x:row>
    <x:row r="176">
      <x:c r="A176" t="n">
        <x:f>'01 Sensory Input'!A176</x:f>
        <x:v>9</x:v>
      </x:c>
      <x:c r="B176" t="n">
        <x:f>'01 Sensory Input'!B176</x:f>
        <x:v>11</x:v>
      </x:c>
      <x:c r="C176" t="n">
        <x:f>IF(A176=A175,--(ABS('01 Sensory Input'!C176-'01 Sensory Input'!C175)&gt;=$B$3),0)</x:f>
        <x:v>1</x:v>
      </x:c>
      <x:c r="D176" t="n">
        <x:f>IF(A176=A175,--(ABS('01 Sensory Input'!D176-'01 Sensory Input'!D175)&gt;=$B$3),0)</x:f>
        <x:v>0</x:v>
      </x:c>
      <x:c r="E176" t="n">
        <x:f>IF(A176=A175,--(ABS('01 Sensory Input'!E176-'01 Sensory Input'!E175)&gt;=$B$3),0)</x:f>
        <x:v>0</x:v>
      </x:c>
      <x:c r="F176" t="n">
        <x:f>IF(A176=A175,--(ABS('01 Sensory Input'!F176-'01 Sensory Input'!F175)&gt;=$B$3),0)</x:f>
        <x:v>1</x:v>
      </x:c>
      <x:c r="G176" t="n">
        <x:f>IF(A176=A175,--(ABS('01 Sensory Input'!G176-'01 Sensory Input'!G175)&gt;=$B$3),0)</x:f>
        <x:v>0</x:v>
      </x:c>
      <x:c r="H176" t="n">
        <x:f>--(SUM(C176:G176)&gt;=2)</x:f>
        <x:v>1</x:v>
      </x:c>
    </x:row>
    <x:row r="177">
      <x:c r="A177" t="n">
        <x:f>'01 Sensory Input'!A177</x:f>
        <x:v>9</x:v>
      </x:c>
      <x:c r="B177" t="n">
        <x:f>'01 Sensory Input'!B177</x:f>
        <x:v>12</x:v>
      </x:c>
      <x:c r="C177" t="n">
        <x:f>IF(A177=A176,--(ABS('01 Sensory Input'!C177-'01 Sensory Input'!C176)&gt;=$B$3),0)</x:f>
        <x:v>1</x:v>
      </x:c>
      <x:c r="D177" t="n">
        <x:f>IF(A177=A176,--(ABS('01 Sensory Input'!D177-'01 Sensory Input'!D176)&gt;=$B$3),0)</x:f>
        <x:v>1</x:v>
      </x:c>
      <x:c r="E177" t="n">
        <x:f>IF(A177=A176,--(ABS('01 Sensory Input'!E177-'01 Sensory Input'!E176)&gt;=$B$3),0)</x:f>
        <x:v>1</x:v>
      </x:c>
      <x:c r="F177" t="n">
        <x:f>IF(A177=A176,--(ABS('01 Sensory Input'!F177-'01 Sensory Input'!F176)&gt;=$B$3),0)</x:f>
        <x:v>0</x:v>
      </x:c>
      <x:c r="G177" t="n">
        <x:f>IF(A177=A176,--(ABS('01 Sensory Input'!G177-'01 Sensory Input'!G176)&gt;=$B$3),0)</x:f>
        <x:v>0</x:v>
      </x:c>
      <x:c r="H177" t="n">
        <x:f>--(SUM(C177:G177)&gt;=2)</x:f>
        <x:v>1</x:v>
      </x:c>
    </x:row>
    <x:row r="178">
      <x:c r="A178" t="n">
        <x:f>'01 Sensory Input'!A178</x:f>
        <x:v>9</x:v>
      </x:c>
      <x:c r="B178" t="n">
        <x:f>'01 Sensory Input'!B178</x:f>
        <x:v>13</x:v>
      </x:c>
      <x:c r="C178" t="n">
        <x:f>IF(A178=A177,--(ABS('01 Sensory Input'!C178-'01 Sensory Input'!C177)&gt;=$B$3),0)</x:f>
        <x:v>1</x:v>
      </x:c>
      <x:c r="D178" t="n">
        <x:f>IF(A178=A177,--(ABS('01 Sensory Input'!D178-'01 Sensory Input'!D177)&gt;=$B$3),0)</x:f>
        <x:v>1</x:v>
      </x:c>
      <x:c r="E178" t="n">
        <x:f>IF(A178=A177,--(ABS('01 Sensory Input'!E178-'01 Sensory Input'!E177)&gt;=$B$3),0)</x:f>
        <x:v>1</x:v>
      </x:c>
      <x:c r="F178" t="n">
        <x:f>IF(A178=A177,--(ABS('01 Sensory Input'!F178-'01 Sensory Input'!F177)&gt;=$B$3),0)</x:f>
        <x:v>0</x:v>
      </x:c>
      <x:c r="G178" t="n">
        <x:f>IF(A178=A177,--(ABS('01 Sensory Input'!G178-'01 Sensory Input'!G177)&gt;=$B$3),0)</x:f>
        <x:v>1</x:v>
      </x:c>
      <x:c r="H178" t="n">
        <x:f>--(SUM(C178:G178)&gt;=2)</x:f>
        <x:v>1</x:v>
      </x:c>
    </x:row>
    <x:row r="179">
      <x:c r="A179" t="n">
        <x:f>'01 Sensory Input'!A179</x:f>
        <x:v>9</x:v>
      </x:c>
      <x:c r="B179" t="n">
        <x:f>'01 Sensory Input'!B179</x:f>
        <x:v>14</x:v>
      </x:c>
      <x:c r="C179" t="n">
        <x:f>IF(A179=A178,--(ABS('01 Sensory Input'!C179-'01 Sensory Input'!C178)&gt;=$B$3),0)</x:f>
        <x:v>1</x:v>
      </x:c>
      <x:c r="D179" t="n">
        <x:f>IF(A179=A178,--(ABS('01 Sensory Input'!D179-'01 Sensory Input'!D178)&gt;=$B$3),0)</x:f>
        <x:v>0</x:v>
      </x:c>
      <x:c r="E179" t="n">
        <x:f>IF(A179=A178,--(ABS('01 Sensory Input'!E179-'01 Sensory Input'!E178)&gt;=$B$3),0)</x:f>
        <x:v>0</x:v>
      </x:c>
      <x:c r="F179" t="n">
        <x:f>IF(A179=A178,--(ABS('01 Sensory Input'!F179-'01 Sensory Input'!F178)&gt;=$B$3),0)</x:f>
        <x:v>0</x:v>
      </x:c>
      <x:c r="G179" t="n">
        <x:f>IF(A179=A178,--(ABS('01 Sensory Input'!G179-'01 Sensory Input'!G178)&gt;=$B$3),0)</x:f>
        <x:v>0</x:v>
      </x:c>
      <x:c r="H179" t="n">
        <x:f>--(SUM(C179:G179)&gt;=2)</x:f>
        <x:v>0</x:v>
      </x:c>
    </x:row>
    <x:row r="180">
      <x:c r="A180" t="n">
        <x:f>'01 Sensory Input'!A180</x:f>
        <x:v>9</x:v>
      </x:c>
      <x:c r="B180" t="n">
        <x:f>'01 Sensory Input'!B180</x:f>
        <x:v>15</x:v>
      </x:c>
      <x:c r="C180" t="n">
        <x:f>IF(A180=A179,--(ABS('01 Sensory Input'!C180-'01 Sensory Input'!C179)&gt;=$B$3),0)</x:f>
        <x:v>1</x:v>
      </x:c>
      <x:c r="D180" t="n">
        <x:f>IF(A180=A179,--(ABS('01 Sensory Input'!D180-'01 Sensory Input'!D179)&gt;=$B$3),0)</x:f>
        <x:v>1</x:v>
      </x:c>
      <x:c r="E180" t="n">
        <x:f>IF(A180=A179,--(ABS('01 Sensory Input'!E180-'01 Sensory Input'!E179)&gt;=$B$3),0)</x:f>
        <x:v>0</x:v>
      </x:c>
      <x:c r="F180" t="n">
        <x:f>IF(A180=A179,--(ABS('01 Sensory Input'!F180-'01 Sensory Input'!F179)&gt;=$B$3),0)</x:f>
        <x:v>1</x:v>
      </x:c>
      <x:c r="G180" t="n">
        <x:f>IF(A180=A179,--(ABS('01 Sensory Input'!G180-'01 Sensory Input'!G179)&gt;=$B$3),0)</x:f>
        <x:v>0</x:v>
      </x:c>
      <x:c r="H180" t="n">
        <x:f>--(SUM(C180:G180)&gt;=2)</x:f>
        <x:v>1</x:v>
      </x:c>
    </x:row>
    <x:row r="181">
      <x:c r="A181" t="n">
        <x:f>'01 Sensory Input'!A181</x:f>
        <x:v>9</x:v>
      </x:c>
      <x:c r="B181" t="n">
        <x:f>'01 Sensory Input'!B181</x:f>
        <x:v>16</x:v>
      </x:c>
      <x:c r="C181" t="n">
        <x:f>IF(A181=A180,--(ABS('01 Sensory Input'!C181-'01 Sensory Input'!C180)&gt;=$B$3),0)</x:f>
        <x:v>1</x:v>
      </x:c>
      <x:c r="D181" t="n">
        <x:f>IF(A181=A180,--(ABS('01 Sensory Input'!D181-'01 Sensory Input'!D180)&gt;=$B$3),0)</x:f>
        <x:v>1</x:v>
      </x:c>
      <x:c r="E181" t="n">
        <x:f>IF(A181=A180,--(ABS('01 Sensory Input'!E181-'01 Sensory Input'!E180)&gt;=$B$3),0)</x:f>
        <x:v>1</x:v>
      </x:c>
      <x:c r="F181" t="n">
        <x:f>IF(A181=A180,--(ABS('01 Sensory Input'!F181-'01 Sensory Input'!F180)&gt;=$B$3),0)</x:f>
        <x:v>1</x:v>
      </x:c>
      <x:c r="G181" t="n">
        <x:f>IF(A181=A180,--(ABS('01 Sensory Input'!G181-'01 Sensory Input'!G180)&gt;=$B$3),0)</x:f>
        <x:v>0</x:v>
      </x:c>
      <x:c r="H181" t="n">
        <x:f>--(SUM(C181:G181)&gt;=2)</x:f>
        <x:v>1</x:v>
      </x:c>
    </x:row>
    <x:row r="182">
      <x:c r="A182" t="n">
        <x:f>'01 Sensory Input'!A182</x:f>
        <x:v>9</x:v>
      </x:c>
      <x:c r="B182" t="n">
        <x:f>'01 Sensory Input'!B182</x:f>
        <x:v>17</x:v>
      </x:c>
      <x:c r="C182" t="n">
        <x:f>IF(A182=A181,--(ABS('01 Sensory Input'!C182-'01 Sensory Input'!C181)&gt;=$B$3),0)</x:f>
        <x:v>1</x:v>
      </x:c>
      <x:c r="D182" t="n">
        <x:f>IF(A182=A181,--(ABS('01 Sensory Input'!D182-'01 Sensory Input'!D181)&gt;=$B$3),0)</x:f>
        <x:v>0</x:v>
      </x:c>
      <x:c r="E182" t="n">
        <x:f>IF(A182=A181,--(ABS('01 Sensory Input'!E182-'01 Sensory Input'!E181)&gt;=$B$3),0)</x:f>
        <x:v>1</x:v>
      </x:c>
      <x:c r="F182" t="n">
        <x:f>IF(A182=A181,--(ABS('01 Sensory Input'!F182-'01 Sensory Input'!F181)&gt;=$B$3),0)</x:f>
        <x:v>0</x:v>
      </x:c>
      <x:c r="G182" t="n">
        <x:f>IF(A182=A181,--(ABS('01 Sensory Input'!G182-'01 Sensory Input'!G181)&gt;=$B$3),0)</x:f>
        <x:v>0</x:v>
      </x:c>
      <x:c r="H182" t="n">
        <x:f>--(SUM(C182:G182)&gt;=2)</x:f>
        <x:v>1</x:v>
      </x:c>
    </x:row>
    <x:row r="183">
      <x:c r="A183" t="n">
        <x:f>'01 Sensory Input'!A183</x:f>
        <x:v>9</x:v>
      </x:c>
      <x:c r="B183" t="n">
        <x:f>'01 Sensory Input'!B183</x:f>
        <x:v>18</x:v>
      </x:c>
      <x:c r="C183" t="n">
        <x:f>IF(A183=A182,--(ABS('01 Sensory Input'!C183-'01 Sensory Input'!C182)&gt;=$B$3),0)</x:f>
        <x:v>1</x:v>
      </x:c>
      <x:c r="D183" t="n">
        <x:f>IF(A183=A182,--(ABS('01 Sensory Input'!D183-'01 Sensory Input'!D182)&gt;=$B$3),0)</x:f>
        <x:v>1</x:v>
      </x:c>
      <x:c r="E183" t="n">
        <x:f>IF(A183=A182,--(ABS('01 Sensory Input'!E183-'01 Sensory Input'!E182)&gt;=$B$3),0)</x:f>
        <x:v>0</x:v>
      </x:c>
      <x:c r="F183" t="n">
        <x:f>IF(A183=A182,--(ABS('01 Sensory Input'!F183-'01 Sensory Input'!F182)&gt;=$B$3),0)</x:f>
        <x:v>0</x:v>
      </x:c>
      <x:c r="G183" t="n">
        <x:f>IF(A183=A182,--(ABS('01 Sensory Input'!G183-'01 Sensory Input'!G182)&gt;=$B$3),0)</x:f>
        <x:v>0</x:v>
      </x:c>
      <x:c r="H183" t="n">
        <x:f>--(SUM(C183:G183)&gt;=2)</x:f>
        <x:v>1</x:v>
      </x:c>
    </x:row>
    <x:row r="184">
      <x:c r="A184" t="n">
        <x:f>'01 Sensory Input'!A184</x:f>
        <x:v>9</x:v>
      </x:c>
      <x:c r="B184" t="n">
        <x:f>'01 Sensory Input'!B184</x:f>
        <x:v>19</x:v>
      </x:c>
      <x:c r="C184" t="n">
        <x:f>IF(A184=A183,--(ABS('01 Sensory Input'!C184-'01 Sensory Input'!C183)&gt;=$B$3),0)</x:f>
        <x:v>1</x:v>
      </x:c>
      <x:c r="D184" t="n">
        <x:f>IF(A184=A183,--(ABS('01 Sensory Input'!D184-'01 Sensory Input'!D183)&gt;=$B$3),0)</x:f>
        <x:v>1</x:v>
      </x:c>
      <x:c r="E184" t="n">
        <x:f>IF(A184=A183,--(ABS('01 Sensory Input'!E184-'01 Sensory Input'!E183)&gt;=$B$3),0)</x:f>
        <x:v>0</x:v>
      </x:c>
      <x:c r="F184" t="n">
        <x:f>IF(A184=A183,--(ABS('01 Sensory Input'!F184-'01 Sensory Input'!F183)&gt;=$B$3),0)</x:f>
        <x:v>0</x:v>
      </x:c>
      <x:c r="G184" t="n">
        <x:f>IF(A184=A183,--(ABS('01 Sensory Input'!G184-'01 Sensory Input'!G183)&gt;=$B$3),0)</x:f>
        <x:v>1</x:v>
      </x:c>
      <x:c r="H184" t="n">
        <x:f>--(SUM(C184:G184)&gt;=2)</x:f>
        <x:v>1</x:v>
      </x:c>
    </x:row>
    <x:row r="185">
      <x:c r="A185" t="n">
        <x:f>'01 Sensory Input'!A185</x:f>
        <x:v>9</x:v>
      </x:c>
      <x:c r="B185" t="n">
        <x:f>'01 Sensory Input'!B185</x:f>
        <x:v>20</x:v>
      </x:c>
      <x:c r="C185" t="n">
        <x:f>IF(A185=A184,--(ABS('01 Sensory Input'!C185-'01 Sensory Input'!C184)&gt;=$B$3),0)</x:f>
        <x:v>1</x:v>
      </x:c>
      <x:c r="D185" t="n">
        <x:f>IF(A185=A184,--(ABS('01 Sensory Input'!D185-'01 Sensory Input'!D184)&gt;=$B$3),0)</x:f>
        <x:v>0</x:v>
      </x:c>
      <x:c r="E185" t="n">
        <x:f>IF(A185=A184,--(ABS('01 Sensory Input'!E185-'01 Sensory Input'!E184)&gt;=$B$3),0)</x:f>
        <x:v>1</x:v>
      </x:c>
      <x:c r="F185" t="n">
        <x:f>IF(A185=A184,--(ABS('01 Sensory Input'!F185-'01 Sensory Input'!F184)&gt;=$B$3),0)</x:f>
        <x:v>1</x:v>
      </x:c>
      <x:c r="G185" t="n">
        <x:f>IF(A185=A184,--(ABS('01 Sensory Input'!G185-'01 Sensory Input'!G184)&gt;=$B$3),0)</x:f>
        <x:v>0</x:v>
      </x:c>
      <x:c r="H185" t="n">
        <x:f>--(SUM(C185:G185)&gt;=2)</x:f>
        <x:v>1</x:v>
      </x:c>
    </x:row>
    <x:row r="186">
      <x:c r="A186" t="n">
        <x:f>'01 Sensory Input'!A186</x:f>
        <x:v>10</x:v>
      </x:c>
      <x:c r="B186" t="n">
        <x:f>'01 Sensory Input'!B186</x:f>
        <x:v>1</x:v>
      </x:c>
      <x:c r="C186" t="n">
        <x:f>IF(A186=A185,--(ABS('01 Sensory Input'!C186-'01 Sensory Input'!C185)&gt;=$B$3),0)</x:f>
        <x:v>0</x:v>
      </x:c>
      <x:c r="D186" t="n">
        <x:f>IF(A186=A185,--(ABS('01 Sensory Input'!D186-'01 Sensory Input'!D185)&gt;=$B$3),0)</x:f>
        <x:v>0</x:v>
      </x:c>
      <x:c r="E186" t="n">
        <x:f>IF(A186=A185,--(ABS('01 Sensory Input'!E186-'01 Sensory Input'!E185)&gt;=$B$3),0)</x:f>
        <x:v>0</x:v>
      </x:c>
      <x:c r="F186" t="n">
        <x:f>IF(A186=A185,--(ABS('01 Sensory Input'!F186-'01 Sensory Input'!F185)&gt;=$B$3),0)</x:f>
        <x:v>0</x:v>
      </x:c>
      <x:c r="G186" t="n">
        <x:f>IF(A186=A185,--(ABS('01 Sensory Input'!G186-'01 Sensory Input'!G185)&gt;=$B$3),0)</x:f>
        <x:v>0</x:v>
      </x:c>
      <x:c r="H186" t="n">
        <x:f>--(SUM(C186:G186)&gt;=2)</x:f>
        <x:v>0</x:v>
      </x:c>
    </x:row>
    <x:row r="187">
      <x:c r="A187" t="n">
        <x:f>'01 Sensory Input'!A187</x:f>
        <x:v>10</x:v>
      </x:c>
      <x:c r="B187" t="n">
        <x:f>'01 Sensory Input'!B187</x:f>
        <x:v>2</x:v>
      </x:c>
      <x:c r="C187" t="n">
        <x:f>IF(A187=A186,--(ABS('01 Sensory Input'!C187-'01 Sensory Input'!C186)&gt;=$B$3),0)</x:f>
        <x:v>1</x:v>
      </x:c>
      <x:c r="D187" t="n">
        <x:f>IF(A187=A186,--(ABS('01 Sensory Input'!D187-'01 Sensory Input'!D186)&gt;=$B$3),0)</x:f>
        <x:v>1</x:v>
      </x:c>
      <x:c r="E187" t="n">
        <x:f>IF(A187=A186,--(ABS('01 Sensory Input'!E187-'01 Sensory Input'!E186)&gt;=$B$3),0)</x:f>
        <x:v>1</x:v>
      </x:c>
      <x:c r="F187" t="n">
        <x:f>IF(A187=A186,--(ABS('01 Sensory Input'!F187-'01 Sensory Input'!F186)&gt;=$B$3),0)</x:f>
        <x:v>1</x:v>
      </x:c>
      <x:c r="G187" t="n">
        <x:f>IF(A187=A186,--(ABS('01 Sensory Input'!G187-'01 Sensory Input'!G186)&gt;=$B$3),0)</x:f>
        <x:v>1</x:v>
      </x:c>
      <x:c r="H187" t="n">
        <x:f>--(SUM(C187:G187)&gt;=2)</x:f>
        <x:v>1</x:v>
      </x:c>
    </x:row>
    <x:row r="188">
      <x:c r="A188" t="n">
        <x:f>'01 Sensory Input'!A188</x:f>
        <x:v>10</x:v>
      </x:c>
      <x:c r="B188" t="n">
        <x:f>'01 Sensory Input'!B188</x:f>
        <x:v>3</x:v>
      </x:c>
      <x:c r="C188" t="n">
        <x:f>IF(A188=A187,--(ABS('01 Sensory Input'!C188-'01 Sensory Input'!C187)&gt;=$B$3),0)</x:f>
        <x:v>1</x:v>
      </x:c>
      <x:c r="D188" t="n">
        <x:f>IF(A188=A187,--(ABS('01 Sensory Input'!D188-'01 Sensory Input'!D187)&gt;=$B$3),0)</x:f>
        <x:v>1</x:v>
      </x:c>
      <x:c r="E188" t="n">
        <x:f>IF(A188=A187,--(ABS('01 Sensory Input'!E188-'01 Sensory Input'!E187)&gt;=$B$3),0)</x:f>
        <x:v>1</x:v>
      </x:c>
      <x:c r="F188" t="n">
        <x:f>IF(A188=A187,--(ABS('01 Sensory Input'!F188-'01 Sensory Input'!F187)&gt;=$B$3),0)</x:f>
        <x:v>1</x:v>
      </x:c>
      <x:c r="G188" t="n">
        <x:f>IF(A188=A187,--(ABS('01 Sensory Input'!G188-'01 Sensory Input'!G187)&gt;=$B$3),0)</x:f>
        <x:v>1</x:v>
      </x:c>
      <x:c r="H188" t="n">
        <x:f>--(SUM(C188:G188)&gt;=2)</x:f>
        <x:v>1</x:v>
      </x:c>
    </x:row>
    <x:row r="189">
      <x:c r="A189" t="n">
        <x:f>'01 Sensory Input'!A189</x:f>
        <x:v>10</x:v>
      </x:c>
      <x:c r="B189" t="n">
        <x:f>'01 Sensory Input'!B189</x:f>
        <x:v>4</x:v>
      </x:c>
      <x:c r="C189" t="n">
        <x:f>IF(A189=A188,--(ABS('01 Sensory Input'!C189-'01 Sensory Input'!C188)&gt;=$B$3),0)</x:f>
        <x:v>1</x:v>
      </x:c>
      <x:c r="D189" t="n">
        <x:f>IF(A189=A188,--(ABS('01 Sensory Input'!D189-'01 Sensory Input'!D188)&gt;=$B$3),0)</x:f>
        <x:v>1</x:v>
      </x:c>
      <x:c r="E189" t="n">
        <x:f>IF(A189=A188,--(ABS('01 Sensory Input'!E189-'01 Sensory Input'!E188)&gt;=$B$3),0)</x:f>
        <x:v>1</x:v>
      </x:c>
      <x:c r="F189" t="n">
        <x:f>IF(A189=A188,--(ABS('01 Sensory Input'!F189-'01 Sensory Input'!F188)&gt;=$B$3),0)</x:f>
        <x:v>1</x:v>
      </x:c>
      <x:c r="G189" t="n">
        <x:f>IF(A189=A188,--(ABS('01 Sensory Input'!G189-'01 Sensory Input'!G188)&gt;=$B$3),0)</x:f>
        <x:v>1</x:v>
      </x:c>
      <x:c r="H189" t="n">
        <x:f>--(SUM(C189:G189)&gt;=2)</x:f>
        <x:v>1</x:v>
      </x:c>
    </x:row>
    <x:row r="190">
      <x:c r="A190" t="n">
        <x:f>'01 Sensory Input'!A190</x:f>
        <x:v>10</x:v>
      </x:c>
      <x:c r="B190" t="n">
        <x:f>'01 Sensory Input'!B190</x:f>
        <x:v>5</x:v>
      </x:c>
      <x:c r="C190" t="n">
        <x:f>IF(A190=A189,--(ABS('01 Sensory Input'!C190-'01 Sensory Input'!C189)&gt;=$B$3),0)</x:f>
        <x:v>0</x:v>
      </x:c>
      <x:c r="D190" t="n">
        <x:f>IF(A190=A189,--(ABS('01 Sensory Input'!D190-'01 Sensory Input'!D189)&gt;=$B$3),0)</x:f>
        <x:v>1</x:v>
      </x:c>
      <x:c r="E190" t="n">
        <x:f>IF(A190=A189,--(ABS('01 Sensory Input'!E190-'01 Sensory Input'!E189)&gt;=$B$3),0)</x:f>
        <x:v>0</x:v>
      </x:c>
      <x:c r="F190" t="n">
        <x:f>IF(A190=A189,--(ABS('01 Sensory Input'!F190-'01 Sensory Input'!F189)&gt;=$B$3),0)</x:f>
        <x:v>1</x:v>
      </x:c>
      <x:c r="G190" t="n">
        <x:f>IF(A190=A189,--(ABS('01 Sensory Input'!G190-'01 Sensory Input'!G189)&gt;=$B$3),0)</x:f>
        <x:v>0</x:v>
      </x:c>
      <x:c r="H190" t="n">
        <x:f>--(SUM(C190:G190)&gt;=2)</x:f>
        <x:v>1</x:v>
      </x:c>
    </x:row>
    <x:row r="191">
      <x:c r="A191" t="n">
        <x:f>'01 Sensory Input'!A191</x:f>
        <x:v>10</x:v>
      </x:c>
      <x:c r="B191" t="n">
        <x:f>'01 Sensory Input'!B191</x:f>
        <x:v>6</x:v>
      </x:c>
      <x:c r="C191" t="n">
        <x:f>IF(A191=A190,--(ABS('01 Sensory Input'!C191-'01 Sensory Input'!C190)&gt;=$B$3),0)</x:f>
        <x:v>0</x:v>
      </x:c>
      <x:c r="D191" t="n">
        <x:f>IF(A191=A190,--(ABS('01 Sensory Input'!D191-'01 Sensory Input'!D190)&gt;=$B$3),0)</x:f>
        <x:v>1</x:v>
      </x:c>
      <x:c r="E191" t="n">
        <x:f>IF(A191=A190,--(ABS('01 Sensory Input'!E191-'01 Sensory Input'!E190)&gt;=$B$3),0)</x:f>
        <x:v>0</x:v>
      </x:c>
      <x:c r="F191" t="n">
        <x:f>IF(A191=A190,--(ABS('01 Sensory Input'!F191-'01 Sensory Input'!F190)&gt;=$B$3),0)</x:f>
        <x:v>1</x:v>
      </x:c>
      <x:c r="G191" t="n">
        <x:f>IF(A191=A190,--(ABS('01 Sensory Input'!G191-'01 Sensory Input'!G190)&gt;=$B$3),0)</x:f>
        <x:v>0</x:v>
      </x:c>
      <x:c r="H191" t="n">
        <x:f>--(SUM(C191:G191)&gt;=2)</x:f>
        <x:v>1</x:v>
      </x:c>
    </x:row>
    <x:row r="192">
      <x:c r="A192" t="n">
        <x:f>'01 Sensory Input'!A192</x:f>
        <x:v>10</x:v>
      </x:c>
      <x:c r="B192" t="n">
        <x:f>'01 Sensory Input'!B192</x:f>
        <x:v>7</x:v>
      </x:c>
      <x:c r="C192" t="n">
        <x:f>IF(A192=A191,--(ABS('01 Sensory Input'!C192-'01 Sensory Input'!C191)&gt;=$B$3),0)</x:f>
        <x:v>1</x:v>
      </x:c>
      <x:c r="D192" t="n">
        <x:f>IF(A192=A191,--(ABS('01 Sensory Input'!D192-'01 Sensory Input'!D191)&gt;=$B$3),0)</x:f>
        <x:v>1</x:v>
      </x:c>
      <x:c r="E192" t="n">
        <x:f>IF(A192=A191,--(ABS('01 Sensory Input'!E192-'01 Sensory Input'!E191)&gt;=$B$3),0)</x:f>
        <x:v>1</x:v>
      </x:c>
      <x:c r="F192" t="n">
        <x:f>IF(A192=A191,--(ABS('01 Sensory Input'!F192-'01 Sensory Input'!F191)&gt;=$B$3),0)</x:f>
        <x:v>1</x:v>
      </x:c>
      <x:c r="G192" t="n">
        <x:f>IF(A192=A191,--(ABS('01 Sensory Input'!G192-'01 Sensory Input'!G191)&gt;=$B$3),0)</x:f>
        <x:v>1</x:v>
      </x:c>
      <x:c r="H192" t="n">
        <x:f>--(SUM(C192:G192)&gt;=2)</x:f>
        <x:v>1</x:v>
      </x:c>
    </x:row>
    <x:row r="193">
      <x:c r="A193" t="n">
        <x:f>'01 Sensory Input'!A193</x:f>
        <x:v>10</x:v>
      </x:c>
      <x:c r="B193" t="n">
        <x:f>'01 Sensory Input'!B193</x:f>
        <x:v>8</x:v>
      </x:c>
      <x:c r="C193" t="n">
        <x:f>IF(A193=A192,--(ABS('01 Sensory Input'!C193-'01 Sensory Input'!C192)&gt;=$B$3),0)</x:f>
        <x:v>1</x:v>
      </x:c>
      <x:c r="D193" t="n">
        <x:f>IF(A193=A192,--(ABS('01 Sensory Input'!D193-'01 Sensory Input'!D192)&gt;=$B$3),0)</x:f>
        <x:v>1</x:v>
      </x:c>
      <x:c r="E193" t="n">
        <x:f>IF(A193=A192,--(ABS('01 Sensory Input'!E193-'01 Sensory Input'!E192)&gt;=$B$3),0)</x:f>
        <x:v>1</x:v>
      </x:c>
      <x:c r="F193" t="n">
        <x:f>IF(A193=A192,--(ABS('01 Sensory Input'!F193-'01 Sensory Input'!F192)&gt;=$B$3),0)</x:f>
        <x:v>1</x:v>
      </x:c>
      <x:c r="G193" t="n">
        <x:f>IF(A193=A192,--(ABS('01 Sensory Input'!G193-'01 Sensory Input'!G192)&gt;=$B$3),0)</x:f>
        <x:v>1</x:v>
      </x:c>
      <x:c r="H193" t="n">
        <x:f>--(SUM(C193:G193)&gt;=2)</x:f>
        <x:v>1</x:v>
      </x:c>
    </x:row>
    <x:row r="194">
      <x:c r="A194" t="n">
        <x:f>'01 Sensory Input'!A194</x:f>
        <x:v>10</x:v>
      </x:c>
      <x:c r="B194" t="n">
        <x:f>'01 Sensory Input'!B194</x:f>
        <x:v>9</x:v>
      </x:c>
      <x:c r="C194" t="n">
        <x:f>IF(A194=A193,--(ABS('01 Sensory Input'!C194-'01 Sensory Input'!C193)&gt;=$B$3),0)</x:f>
        <x:v>1</x:v>
      </x:c>
      <x:c r="D194" t="n">
        <x:f>IF(A194=A193,--(ABS('01 Sensory Input'!D194-'01 Sensory Input'!D193)&gt;=$B$3),0)</x:f>
        <x:v>1</x:v>
      </x:c>
      <x:c r="E194" t="n">
        <x:f>IF(A194=A193,--(ABS('01 Sensory Input'!E194-'01 Sensory Input'!E193)&gt;=$B$3),0)</x:f>
        <x:v>1</x:v>
      </x:c>
      <x:c r="F194" t="n">
        <x:f>IF(A194=A193,--(ABS('01 Sensory Input'!F194-'01 Sensory Input'!F193)&gt;=$B$3),0)</x:f>
        <x:v>1</x:v>
      </x:c>
      <x:c r="G194" t="n">
        <x:f>IF(A194=A193,--(ABS('01 Sensory Input'!G194-'01 Sensory Input'!G193)&gt;=$B$3),0)</x:f>
        <x:v>1</x:v>
      </x:c>
      <x:c r="H194" t="n">
        <x:f>--(SUM(C194:G194)&gt;=2)</x:f>
        <x:v>1</x:v>
      </x:c>
    </x:row>
    <x:row r="195">
      <x:c r="A195" t="n">
        <x:f>'01 Sensory Input'!A195</x:f>
        <x:v>10</x:v>
      </x:c>
      <x:c r="B195" t="n">
        <x:f>'01 Sensory Input'!B195</x:f>
        <x:v>10</x:v>
      </x:c>
      <x:c r="C195" t="n">
        <x:f>IF(A195=A194,--(ABS('01 Sensory Input'!C195-'01 Sensory Input'!C194)&gt;=$B$3),0)</x:f>
        <x:v>1</x:v>
      </x:c>
      <x:c r="D195" t="n">
        <x:f>IF(A195=A194,--(ABS('01 Sensory Input'!D195-'01 Sensory Input'!D194)&gt;=$B$3),0)</x:f>
        <x:v>0</x:v>
      </x:c>
      <x:c r="E195" t="n">
        <x:f>IF(A195=A194,--(ABS('01 Sensory Input'!E195-'01 Sensory Input'!E194)&gt;=$B$3),0)</x:f>
        <x:v>1</x:v>
      </x:c>
      <x:c r="F195" t="n">
        <x:f>IF(A195=A194,--(ABS('01 Sensory Input'!F195-'01 Sensory Input'!F194)&gt;=$B$3),0)</x:f>
        <x:v>0</x:v>
      </x:c>
      <x:c r="G195" t="n">
        <x:f>IF(A195=A194,--(ABS('01 Sensory Input'!G195-'01 Sensory Input'!G194)&gt;=$B$3),0)</x:f>
        <x:v>1</x:v>
      </x:c>
      <x:c r="H195" t="n">
        <x:f>--(SUM(C195:G195)&gt;=2)</x:f>
        <x:v>1</x:v>
      </x:c>
    </x:row>
    <x:row r="196">
      <x:c r="A196" t="n">
        <x:f>'01 Sensory Input'!A196</x:f>
        <x:v>10</x:v>
      </x:c>
      <x:c r="B196" t="n">
        <x:f>'01 Sensory Input'!B196</x:f>
        <x:v>11</x:v>
      </x:c>
      <x:c r="C196" t="n">
        <x:f>IF(A196=A195,--(ABS('01 Sensory Input'!C196-'01 Sensory Input'!C195)&gt;=$B$3),0)</x:f>
        <x:v>1</x:v>
      </x:c>
      <x:c r="D196" t="n">
        <x:f>IF(A196=A195,--(ABS('01 Sensory Input'!D196-'01 Sensory Input'!D195)&gt;=$B$3),0)</x:f>
        <x:v>0</x:v>
      </x:c>
      <x:c r="E196" t="n">
        <x:f>IF(A196=A195,--(ABS('01 Sensory Input'!E196-'01 Sensory Input'!E195)&gt;=$B$3),0)</x:f>
        <x:v>1</x:v>
      </x:c>
      <x:c r="F196" t="n">
        <x:f>IF(A196=A195,--(ABS('01 Sensory Input'!F196-'01 Sensory Input'!F195)&gt;=$B$3),0)</x:f>
        <x:v>0</x:v>
      </x:c>
      <x:c r="G196" t="n">
        <x:f>IF(A196=A195,--(ABS('01 Sensory Input'!G196-'01 Sensory Input'!G195)&gt;=$B$3),0)</x:f>
        <x:v>1</x:v>
      </x:c>
      <x:c r="H196" t="n">
        <x:f>--(SUM(C196:G196)&gt;=2)</x:f>
        <x:v>1</x:v>
      </x:c>
    </x:row>
    <x:row r="197">
      <x:c r="A197" t="n">
        <x:f>'01 Sensory Input'!A197</x:f>
        <x:v>10</x:v>
      </x:c>
      <x:c r="B197" t="n">
        <x:f>'01 Sensory Input'!B197</x:f>
        <x:v>12</x:v>
      </x:c>
      <x:c r="C197" t="n">
        <x:f>IF(A197=A196,--(ABS('01 Sensory Input'!C197-'01 Sensory Input'!C196)&gt;=$B$3),0)</x:f>
        <x:v>1</x:v>
      </x:c>
      <x:c r="D197" t="n">
        <x:f>IF(A197=A196,--(ABS('01 Sensory Input'!D197-'01 Sensory Input'!D196)&gt;=$B$3),0)</x:f>
        <x:v>1</x:v>
      </x:c>
      <x:c r="E197" t="n">
        <x:f>IF(A197=A196,--(ABS('01 Sensory Input'!E197-'01 Sensory Input'!E196)&gt;=$B$3),0)</x:f>
        <x:v>1</x:v>
      </x:c>
      <x:c r="F197" t="n">
        <x:f>IF(A197=A196,--(ABS('01 Sensory Input'!F197-'01 Sensory Input'!F196)&gt;=$B$3),0)</x:f>
        <x:v>1</x:v>
      </x:c>
      <x:c r="G197" t="n">
        <x:f>IF(A197=A196,--(ABS('01 Sensory Input'!G197-'01 Sensory Input'!G196)&gt;=$B$3),0)</x:f>
        <x:v>1</x:v>
      </x:c>
      <x:c r="H197" t="n">
        <x:f>--(SUM(C197:G197)&gt;=2)</x:f>
        <x:v>1</x:v>
      </x:c>
    </x:row>
    <x:row r="198">
      <x:c r="A198" t="n">
        <x:f>'01 Sensory Input'!A198</x:f>
        <x:v>10</x:v>
      </x:c>
      <x:c r="B198" t="n">
        <x:f>'01 Sensory Input'!B198</x:f>
        <x:v>13</x:v>
      </x:c>
      <x:c r="C198" t="n">
        <x:f>IF(A198=A197,--(ABS('01 Sensory Input'!C198-'01 Sensory Input'!C197)&gt;=$B$3),0)</x:f>
        <x:v>1</x:v>
      </x:c>
      <x:c r="D198" t="n">
        <x:f>IF(A198=A197,--(ABS('01 Sensory Input'!D198-'01 Sensory Input'!D197)&gt;=$B$3),0)</x:f>
        <x:v>1</x:v>
      </x:c>
      <x:c r="E198" t="n">
        <x:f>IF(A198=A197,--(ABS('01 Sensory Input'!E198-'01 Sensory Input'!E197)&gt;=$B$3),0)</x:f>
        <x:v>1</x:v>
      </x:c>
      <x:c r="F198" t="n">
        <x:f>IF(A198=A197,--(ABS('01 Sensory Input'!F198-'01 Sensory Input'!F197)&gt;=$B$3),0)</x:f>
        <x:v>1</x:v>
      </x:c>
      <x:c r="G198" t="n">
        <x:f>IF(A198=A197,--(ABS('01 Sensory Input'!G198-'01 Sensory Input'!G197)&gt;=$B$3),0)</x:f>
        <x:v>1</x:v>
      </x:c>
      <x:c r="H198" t="n">
        <x:f>--(SUM(C198:G198)&gt;=2)</x:f>
        <x:v>1</x:v>
      </x:c>
    </x:row>
    <x:row r="199">
      <x:c r="A199" t="n">
        <x:f>'01 Sensory Input'!A199</x:f>
        <x:v>10</x:v>
      </x:c>
      <x:c r="B199" t="n">
        <x:f>'01 Sensory Input'!B199</x:f>
        <x:v>14</x:v>
      </x:c>
      <x:c r="C199" t="n">
        <x:f>IF(A199=A198,--(ABS('01 Sensory Input'!C199-'01 Sensory Input'!C198)&gt;=$B$3),0)</x:f>
        <x:v>1</x:v>
      </x:c>
      <x:c r="D199" t="n">
        <x:f>IF(A199=A198,--(ABS('01 Sensory Input'!D199-'01 Sensory Input'!D198)&gt;=$B$3),0)</x:f>
        <x:v>1</x:v>
      </x:c>
      <x:c r="E199" t="n">
        <x:f>IF(A199=A198,--(ABS('01 Sensory Input'!E199-'01 Sensory Input'!E198)&gt;=$B$3),0)</x:f>
        <x:v>1</x:v>
      </x:c>
      <x:c r="F199" t="n">
        <x:f>IF(A199=A198,--(ABS('01 Sensory Input'!F199-'01 Sensory Input'!F198)&gt;=$B$3),0)</x:f>
        <x:v>1</x:v>
      </x:c>
      <x:c r="G199" t="n">
        <x:f>IF(A199=A198,--(ABS('01 Sensory Input'!G199-'01 Sensory Input'!G198)&gt;=$B$3),0)</x:f>
        <x:v>1</x:v>
      </x:c>
      <x:c r="H199" t="n">
        <x:f>--(SUM(C199:G199)&gt;=2)</x:f>
        <x:v>1</x:v>
      </x:c>
    </x:row>
    <x:row r="200">
      <x:c r="A200" t="n">
        <x:f>'01 Sensory Input'!A200</x:f>
        <x:v>10</x:v>
      </x:c>
      <x:c r="B200" t="n">
        <x:f>'01 Sensory Input'!B200</x:f>
        <x:v>15</x:v>
      </x:c>
      <x:c r="C200" t="n">
        <x:f>IF(A200=A199,--(ABS('01 Sensory Input'!C200-'01 Sensory Input'!C199)&gt;=$B$3),0)</x:f>
        <x:v>0</x:v>
      </x:c>
      <x:c r="D200" t="n">
        <x:f>IF(A200=A199,--(ABS('01 Sensory Input'!D200-'01 Sensory Input'!D199)&gt;=$B$3),0)</x:f>
        <x:v>1</x:v>
      </x:c>
      <x:c r="E200" t="n">
        <x:f>IF(A200=A199,--(ABS('01 Sensory Input'!E200-'01 Sensory Input'!E199)&gt;=$B$3),0)</x:f>
        <x:v>0</x:v>
      </x:c>
      <x:c r="F200" t="n">
        <x:f>IF(A200=A199,--(ABS('01 Sensory Input'!F200-'01 Sensory Input'!F199)&gt;=$B$3),0)</x:f>
        <x:v>1</x:v>
      </x:c>
      <x:c r="G200" t="n">
        <x:f>IF(A200=A199,--(ABS('01 Sensory Input'!G200-'01 Sensory Input'!G199)&gt;=$B$3),0)</x:f>
        <x:v>0</x:v>
      </x:c>
      <x:c r="H200" t="n">
        <x:f>--(SUM(C200:G200)&gt;=2)</x:f>
        <x:v>1</x:v>
      </x:c>
    </x:row>
    <x:row r="201">
      <x:c r="A201" t="n">
        <x:f>'01 Sensory Input'!A201</x:f>
        <x:v>10</x:v>
      </x:c>
      <x:c r="B201" t="n">
        <x:f>'01 Sensory Input'!B201</x:f>
        <x:v>16</x:v>
      </x:c>
      <x:c r="C201" t="n">
        <x:f>IF(A201=A200,--(ABS('01 Sensory Input'!C201-'01 Sensory Input'!C200)&gt;=$B$3),0)</x:f>
        <x:v>0</x:v>
      </x:c>
      <x:c r="D201" t="n">
        <x:f>IF(A201=A200,--(ABS('01 Sensory Input'!D201-'01 Sensory Input'!D200)&gt;=$B$3),0)</x:f>
        <x:v>1</x:v>
      </x:c>
      <x:c r="E201" t="n">
        <x:f>IF(A201=A200,--(ABS('01 Sensory Input'!E201-'01 Sensory Input'!E200)&gt;=$B$3),0)</x:f>
        <x:v>0</x:v>
      </x:c>
      <x:c r="F201" t="n">
        <x:f>IF(A201=A200,--(ABS('01 Sensory Input'!F201-'01 Sensory Input'!F200)&gt;=$B$3),0)</x:f>
        <x:v>1</x:v>
      </x:c>
      <x:c r="G201" t="n">
        <x:f>IF(A201=A200,--(ABS('01 Sensory Input'!G201-'01 Sensory Input'!G200)&gt;=$B$3),0)</x:f>
        <x:v>0</x:v>
      </x:c>
      <x:c r="H201" t="n">
        <x:f>--(SUM(C201:G201)&gt;=2)</x:f>
        <x:v>1</x:v>
      </x:c>
    </x:row>
    <x:row r="202">
      <x:c r="A202" t="n">
        <x:f>'01 Sensory Input'!A202</x:f>
        <x:v>10</x:v>
      </x:c>
      <x:c r="B202" t="n">
        <x:f>'01 Sensory Input'!B202</x:f>
        <x:v>17</x:v>
      </x:c>
      <x:c r="C202" t="n">
        <x:f>IF(A202=A201,--(ABS('01 Sensory Input'!C202-'01 Sensory Input'!C201)&gt;=$B$3),0)</x:f>
        <x:v>1</x:v>
      </x:c>
      <x:c r="D202" t="n">
        <x:f>IF(A202=A201,--(ABS('01 Sensory Input'!D202-'01 Sensory Input'!D201)&gt;=$B$3),0)</x:f>
        <x:v>1</x:v>
      </x:c>
      <x:c r="E202" t="n">
        <x:f>IF(A202=A201,--(ABS('01 Sensory Input'!E202-'01 Sensory Input'!E201)&gt;=$B$3),0)</x:f>
        <x:v>1</x:v>
      </x:c>
      <x:c r="F202" t="n">
        <x:f>IF(A202=A201,--(ABS('01 Sensory Input'!F202-'01 Sensory Input'!F201)&gt;=$B$3),0)</x:f>
        <x:v>1</x:v>
      </x:c>
      <x:c r="G202" t="n">
        <x:f>IF(A202=A201,--(ABS('01 Sensory Input'!G202-'01 Sensory Input'!G201)&gt;=$B$3),0)</x:f>
        <x:v>1</x:v>
      </x:c>
      <x:c r="H202" t="n">
        <x:f>--(SUM(C202:G202)&gt;=2)</x:f>
        <x:v>1</x:v>
      </x:c>
    </x:row>
    <x:row r="203">
      <x:c r="A203" t="n">
        <x:f>'01 Sensory Input'!A203</x:f>
        <x:v>10</x:v>
      </x:c>
      <x:c r="B203" t="n">
        <x:f>'01 Sensory Input'!B203</x:f>
        <x:v>18</x:v>
      </x:c>
      <x:c r="C203" t="n">
        <x:f>IF(A203=A202,--(ABS('01 Sensory Input'!C203-'01 Sensory Input'!C202)&gt;=$B$3),0)</x:f>
        <x:v>1</x:v>
      </x:c>
      <x:c r="D203" t="n">
        <x:f>IF(A203=A202,--(ABS('01 Sensory Input'!D203-'01 Sensory Input'!D202)&gt;=$B$3),0)</x:f>
        <x:v>1</x:v>
      </x:c>
      <x:c r="E203" t="n">
        <x:f>IF(A203=A202,--(ABS('01 Sensory Input'!E203-'01 Sensory Input'!E202)&gt;=$B$3),0)</x:f>
        <x:v>1</x:v>
      </x:c>
      <x:c r="F203" t="n">
        <x:f>IF(A203=A202,--(ABS('01 Sensory Input'!F203-'01 Sensory Input'!F202)&gt;=$B$3),0)</x:f>
        <x:v>1</x:v>
      </x:c>
      <x:c r="G203" t="n">
        <x:f>IF(A203=A202,--(ABS('01 Sensory Input'!G203-'01 Sensory Input'!G202)&gt;=$B$3),0)</x:f>
        <x:v>1</x:v>
      </x:c>
      <x:c r="H203" t="n">
        <x:f>--(SUM(C203:G203)&gt;=2)</x:f>
        <x:v>1</x:v>
      </x:c>
    </x:row>
    <x:row r="204">
      <x:c r="A204" t="n">
        <x:f>'01 Sensory Input'!A204</x:f>
        <x:v>10</x:v>
      </x:c>
      <x:c r="B204" t="n">
        <x:f>'01 Sensory Input'!B204</x:f>
        <x:v>19</x:v>
      </x:c>
      <x:c r="C204" t="n">
        <x:f>IF(A204=A203,--(ABS('01 Sensory Input'!C204-'01 Sensory Input'!C203)&gt;=$B$3),0)</x:f>
        <x:v>1</x:v>
      </x:c>
      <x:c r="D204" t="n">
        <x:f>IF(A204=A203,--(ABS('01 Sensory Input'!D204-'01 Sensory Input'!D203)&gt;=$B$3),0)</x:f>
        <x:v>1</x:v>
      </x:c>
      <x:c r="E204" t="n">
        <x:f>IF(A204=A203,--(ABS('01 Sensory Input'!E204-'01 Sensory Input'!E203)&gt;=$B$3),0)</x:f>
        <x:v>1</x:v>
      </x:c>
      <x:c r="F204" t="n">
        <x:f>IF(A204=A203,--(ABS('01 Sensory Input'!F204-'01 Sensory Input'!F203)&gt;=$B$3),0)</x:f>
        <x:v>1</x:v>
      </x:c>
      <x:c r="G204" t="n">
        <x:f>IF(A204=A203,--(ABS('01 Sensory Input'!G204-'01 Sensory Input'!G203)&gt;=$B$3),0)</x:f>
        <x:v>1</x:v>
      </x:c>
      <x:c r="H204" t="n">
        <x:f>--(SUM(C204:G204)&gt;=2)</x:f>
        <x:v>1</x:v>
      </x:c>
    </x:row>
    <x:row r="205">
      <x:c r="A205" t="n">
        <x:f>'01 Sensory Input'!A205</x:f>
        <x:v>10</x:v>
      </x:c>
      <x:c r="B205" t="n">
        <x:f>'01 Sensory Input'!B205</x:f>
        <x:v>20</x:v>
      </x:c>
      <x:c r="C205" t="n">
        <x:f>IF(A205=A204,--(ABS('01 Sensory Input'!C205-'01 Sensory Input'!C204)&gt;=$B$3),0)</x:f>
        <x:v>1</x:v>
      </x:c>
      <x:c r="D205" t="n">
        <x:f>IF(A205=A204,--(ABS('01 Sensory Input'!D205-'01 Sensory Input'!D204)&gt;=$B$3),0)</x:f>
        <x:v>0</x:v>
      </x:c>
      <x:c r="E205" t="n">
        <x:f>IF(A205=A204,--(ABS('01 Sensory Input'!E205-'01 Sensory Input'!E204)&gt;=$B$3),0)</x:f>
        <x:v>1</x:v>
      </x:c>
      <x:c r="F205" t="n">
        <x:f>IF(A205=A204,--(ABS('01 Sensory Input'!F205-'01 Sensory Input'!F204)&gt;=$B$3),0)</x:f>
        <x:v>0</x:v>
      </x:c>
      <x:c r="G205" t="n">
        <x:f>IF(A205=A204,--(ABS('01 Sensory Input'!G205-'01 Sensory Input'!G204)&gt;=$B$3),0)</x:f>
        <x:v>1</x:v>
      </x:c>
      <x:c r="H205" t="n">
        <x:f>--(SUM(C205:G205)&gt;=2)</x:f>
        <x:v>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670000076293945" hidden="0" customWidth="1"/>
    <x:col min="2" max="2" width="4.670000076293945" hidden="0" customWidth="1"/>
    <x:col min="3" max="3" width="4.670000076293945" hidden="0" customWidth="1"/>
    <x:col min="4" max="4" width="4.670000076293945" hidden="0" customWidth="1"/>
  </x:cols>
  <x:sheetData>
    <x:row r="1" ht="19.5" customHeight="1">
      <x:c r="A1" s="4" t="str">
        <x:v>02c n^-2</x:v>
      </x:c>
      <x:c r="B1" s="4" t="str">
        <x:v>02c n^-2</x:v>
      </x:c>
      <x:c r="C1" s="4" t="str">
        <x:v>02c n^-2</x:v>
      </x:c>
      <x:c r="D1" s="4" t="str">
        <x:v>02c n^-2</x:v>
      </x:c>
    </x:row>
    <x:row r="2" ht="18" customHeight="1">
      <x:c r="A2" s="6" t="str">
        <x:v>Reads n^-1. c is normalized n^-1 signal density. a outputs 1 when c changes from the previous tick.</x:v>
      </x:c>
      <x:c r="B2" s="6" t="str">
        <x:v>Reads n^-1. c is normalized n^-1 signal density. a outputs 1 when c changes from the previous tick.</x:v>
      </x:c>
      <x:c r="C2" s="6" t="str">
        <x:v>Reads n^-1. c is normalized n^-1 signal density. a outputs 1 when c changes from the previous tick.</x:v>
      </x:c>
      <x:c r="D2" s="6" t="str">
        <x:v>Reads n^-1. c is normalized n^-1 signal density. a outputs 1 when c changes from the previous tick.</x:v>
      </x:c>
    </x:row>
    <x:row r="5">
      <x:c r="A5" s="9" t="str">
        <x:v>sample</x:v>
      </x:c>
      <x:c r="B5" s="10" t="str">
        <x:v>tick</x:v>
      </x:c>
      <x:c r="C5" s="10" t="str">
        <x:v>c</x:v>
      </x:c>
      <x:c r="D5" s="11" t="str">
        <x:v>a</x:v>
      </x:c>
    </x:row>
    <x:row r="6">
      <x:c r="A6" t="n">
        <x:f>'02b n^-1'!A6</x:f>
        <x:v>1</x:v>
      </x:c>
      <x:c r="B6" t="n">
        <x:f>'02b n^-1'!B6</x:f>
        <x:v>1</x:v>
      </x:c>
      <x:c r="C6" s="12" t="n">
        <x:f>SUM('02b n^-1'!C6:H6)/6</x:f>
        <x:v>0</x:v>
      </x:c>
      <x:c r="D6" t="n">
        <x:f>IF(A6=A5,--(ABS(C6-C5)&gt;0),0)</x:f>
        <x:v>0</x:v>
      </x:c>
    </x:row>
    <x:row r="7">
      <x:c r="A7" t="n">
        <x:f>'02b n^-1'!A7</x:f>
        <x:v>1</x:v>
      </x:c>
      <x:c r="B7" t="n">
        <x:f>'02b n^-1'!B7</x:f>
        <x:v>2</x:v>
      </x:c>
      <x:c r="C7" s="12" t="n">
        <x:f>SUM('02b n^-1'!C7:H7)/6</x:f>
        <x:v>0</x:v>
      </x:c>
      <x:c r="D7" t="n">
        <x:f>IF(A7=A6,--(ABS(C7-C6)&gt;0),0)</x:f>
        <x:v>0</x:v>
      </x:c>
    </x:row>
    <x:row r="8">
      <x:c r="A8" t="n">
        <x:f>'02b n^-1'!A8</x:f>
        <x:v>1</x:v>
      </x:c>
      <x:c r="B8" t="n">
        <x:f>'02b n^-1'!B8</x:f>
        <x:v>3</x:v>
      </x:c>
      <x:c r="C8" s="12" t="n">
        <x:f>SUM('02b n^-1'!C8:H8)/6</x:f>
        <x:v>0</x:v>
      </x:c>
      <x:c r="D8" t="n">
        <x:f>IF(A8=A7,--(ABS(C8-C7)&gt;0),0)</x:f>
        <x:v>0</x:v>
      </x:c>
    </x:row>
    <x:row r="9">
      <x:c r="A9" t="n">
        <x:f>'02b n^-1'!A9</x:f>
        <x:v>1</x:v>
      </x:c>
      <x:c r="B9" t="n">
        <x:f>'02b n^-1'!B9</x:f>
        <x:v>4</x:v>
      </x:c>
      <x:c r="C9" s="12" t="n">
        <x:f>SUM('02b n^-1'!C9:H9)/6</x:f>
        <x:v>0</x:v>
      </x:c>
      <x:c r="D9" t="n">
        <x:f>IF(A9=A8,--(ABS(C9-C8)&gt;0),0)</x:f>
        <x:v>0</x:v>
      </x:c>
    </x:row>
    <x:row r="10">
      <x:c r="A10" t="n">
        <x:f>'02b n^-1'!A10</x:f>
        <x:v>1</x:v>
      </x:c>
      <x:c r="B10" t="n">
        <x:f>'02b n^-1'!B10</x:f>
        <x:v>5</x:v>
      </x:c>
      <x:c r="C10" s="12" t="n">
        <x:f>SUM('02b n^-1'!C10:H10)/6</x:f>
        <x:v>0</x:v>
      </x:c>
      <x:c r="D10" t="n">
        <x:f>IF(A10=A9,--(ABS(C10-C9)&gt;0),0)</x:f>
        <x:v>0</x:v>
      </x:c>
    </x:row>
    <x:row r="11">
      <x:c r="A11" t="n">
        <x:f>'02b n^-1'!A11</x:f>
        <x:v>1</x:v>
      </x:c>
      <x:c r="B11" t="n">
        <x:f>'02b n^-1'!B11</x:f>
        <x:v>6</x:v>
      </x:c>
      <x:c r="C11" s="12" t="n">
        <x:f>SUM('02b n^-1'!C11:H11)/6</x:f>
        <x:v>0</x:v>
      </x:c>
      <x:c r="D11" t="n">
        <x:f>IF(A11=A10,--(ABS(C11-C10)&gt;0),0)</x:f>
        <x:v>0</x:v>
      </x:c>
    </x:row>
    <x:row r="12">
      <x:c r="A12" t="n">
        <x:f>'02b n^-1'!A12</x:f>
        <x:v>1</x:v>
      </x:c>
      <x:c r="B12" t="n">
        <x:f>'02b n^-1'!B12</x:f>
        <x:v>7</x:v>
      </x:c>
      <x:c r="C12" s="12" t="n">
        <x:f>SUM('02b n^-1'!C12:H12)/6</x:f>
        <x:v>0</x:v>
      </x:c>
      <x:c r="D12" t="n">
        <x:f>IF(A12=A11,--(ABS(C12-C11)&gt;0),0)</x:f>
        <x:v>0</x:v>
      </x:c>
    </x:row>
    <x:row r="13">
      <x:c r="A13" t="n">
        <x:f>'02b n^-1'!A13</x:f>
        <x:v>1</x:v>
      </x:c>
      <x:c r="B13" t="n">
        <x:f>'02b n^-1'!B13</x:f>
        <x:v>8</x:v>
      </x:c>
      <x:c r="C13" s="12" t="n">
        <x:f>SUM('02b n^-1'!C13:H13)/6</x:f>
        <x:v>0</x:v>
      </x:c>
      <x:c r="D13" t="n">
        <x:f>IF(A13=A12,--(ABS(C13-C12)&gt;0),0)</x:f>
        <x:v>0</x:v>
      </x:c>
    </x:row>
    <x:row r="14">
      <x:c r="A14" t="n">
        <x:f>'02b n^-1'!A14</x:f>
        <x:v>1</x:v>
      </x:c>
      <x:c r="B14" t="n">
        <x:f>'02b n^-1'!B14</x:f>
        <x:v>9</x:v>
      </x:c>
      <x:c r="C14" s="12" t="n">
        <x:f>SUM('02b n^-1'!C14:H14)/6</x:f>
        <x:v>0</x:v>
      </x:c>
      <x:c r="D14" t="n">
        <x:f>IF(A14=A13,--(ABS(C14-C13)&gt;0),0)</x:f>
        <x:v>0</x:v>
      </x:c>
    </x:row>
    <x:row r="15">
      <x:c r="A15" t="n">
        <x:f>'02b n^-1'!A15</x:f>
        <x:v>1</x:v>
      </x:c>
      <x:c r="B15" t="n">
        <x:f>'02b n^-1'!B15</x:f>
        <x:v>10</x:v>
      </x:c>
      <x:c r="C15" s="12" t="n">
        <x:f>SUM('02b n^-1'!C15:H15)/6</x:f>
        <x:v>0</x:v>
      </x:c>
      <x:c r="D15" t="n">
        <x:f>IF(A15=A14,--(ABS(C15-C14)&gt;0),0)</x:f>
        <x:v>0</x:v>
      </x:c>
    </x:row>
    <x:row r="16">
      <x:c r="A16" t="n">
        <x:f>'02b n^-1'!A16</x:f>
        <x:v>1</x:v>
      </x:c>
      <x:c r="B16" t="n">
        <x:f>'02b n^-1'!B16</x:f>
        <x:v>11</x:v>
      </x:c>
      <x:c r="C16" s="12" t="n">
        <x:f>SUM('02b n^-1'!C16:H16)/6</x:f>
        <x:v>0</x:v>
      </x:c>
      <x:c r="D16" t="n">
        <x:f>IF(A16=A15,--(ABS(C16-C15)&gt;0),0)</x:f>
        <x:v>0</x:v>
      </x:c>
    </x:row>
    <x:row r="17">
      <x:c r="A17" t="n">
        <x:f>'02b n^-1'!A17</x:f>
        <x:v>1</x:v>
      </x:c>
      <x:c r="B17" t="n">
        <x:f>'02b n^-1'!B17</x:f>
        <x:v>12</x:v>
      </x:c>
      <x:c r="C17" s="12" t="n">
        <x:f>SUM('02b n^-1'!C17:H17)/6</x:f>
        <x:v>0</x:v>
      </x:c>
      <x:c r="D17" t="n">
        <x:f>IF(A17=A16,--(ABS(C17-C16)&gt;0),0)</x:f>
        <x:v>0</x:v>
      </x:c>
    </x:row>
    <x:row r="18">
      <x:c r="A18" t="n">
        <x:f>'02b n^-1'!A18</x:f>
        <x:v>1</x:v>
      </x:c>
      <x:c r="B18" t="n">
        <x:f>'02b n^-1'!B18</x:f>
        <x:v>13</x:v>
      </x:c>
      <x:c r="C18" s="12" t="n">
        <x:f>SUM('02b n^-1'!C18:H18)/6</x:f>
        <x:v>0</x:v>
      </x:c>
      <x:c r="D18" t="n">
        <x:f>IF(A18=A17,--(ABS(C18-C17)&gt;0),0)</x:f>
        <x:v>0</x:v>
      </x:c>
    </x:row>
    <x:row r="19">
      <x:c r="A19" t="n">
        <x:f>'02b n^-1'!A19</x:f>
        <x:v>1</x:v>
      </x:c>
      <x:c r="B19" t="n">
        <x:f>'02b n^-1'!B19</x:f>
        <x:v>14</x:v>
      </x:c>
      <x:c r="C19" s="12" t="n">
        <x:f>SUM('02b n^-1'!C19:H19)/6</x:f>
        <x:v>0</x:v>
      </x:c>
      <x:c r="D19" t="n">
        <x:f>IF(A19=A18,--(ABS(C19-C18)&gt;0),0)</x:f>
        <x:v>0</x:v>
      </x:c>
    </x:row>
    <x:row r="20">
      <x:c r="A20" t="n">
        <x:f>'02b n^-1'!A20</x:f>
        <x:v>1</x:v>
      </x:c>
      <x:c r="B20" t="n">
        <x:f>'02b n^-1'!B20</x:f>
        <x:v>15</x:v>
      </x:c>
      <x:c r="C20" s="12" t="n">
        <x:f>SUM('02b n^-1'!C20:H20)/6</x:f>
        <x:v>0</x:v>
      </x:c>
      <x:c r="D20" t="n">
        <x:f>IF(A20=A19,--(ABS(C20-C19)&gt;0),0)</x:f>
        <x:v>0</x:v>
      </x:c>
    </x:row>
    <x:row r="21">
      <x:c r="A21" t="n">
        <x:f>'02b n^-1'!A21</x:f>
        <x:v>1</x:v>
      </x:c>
      <x:c r="B21" t="n">
        <x:f>'02b n^-1'!B21</x:f>
        <x:v>16</x:v>
      </x:c>
      <x:c r="C21" s="12" t="n">
        <x:f>SUM('02b n^-1'!C21:H21)/6</x:f>
        <x:v>0</x:v>
      </x:c>
      <x:c r="D21" t="n">
        <x:f>IF(A21=A20,--(ABS(C21-C20)&gt;0),0)</x:f>
        <x:v>0</x:v>
      </x:c>
    </x:row>
    <x:row r="22">
      <x:c r="A22" t="n">
        <x:f>'02b n^-1'!A22</x:f>
        <x:v>1</x:v>
      </x:c>
      <x:c r="B22" t="n">
        <x:f>'02b n^-1'!B22</x:f>
        <x:v>17</x:v>
      </x:c>
      <x:c r="C22" s="12" t="n">
        <x:f>SUM('02b n^-1'!C22:H22)/6</x:f>
        <x:v>0</x:v>
      </x:c>
      <x:c r="D22" t="n">
        <x:f>IF(A22=A21,--(ABS(C22-C21)&gt;0),0)</x:f>
        <x:v>0</x:v>
      </x:c>
    </x:row>
    <x:row r="23">
      <x:c r="A23" t="n">
        <x:f>'02b n^-1'!A23</x:f>
        <x:v>1</x:v>
      </x:c>
      <x:c r="B23" t="n">
        <x:f>'02b n^-1'!B23</x:f>
        <x:v>18</x:v>
      </x:c>
      <x:c r="C23" s="12" t="n">
        <x:f>SUM('02b n^-1'!C23:H23)/6</x:f>
        <x:v>0</x:v>
      </x:c>
      <x:c r="D23" t="n">
        <x:f>IF(A23=A22,--(ABS(C23-C22)&gt;0),0)</x:f>
        <x:v>0</x:v>
      </x:c>
    </x:row>
    <x:row r="24">
      <x:c r="A24" t="n">
        <x:f>'02b n^-1'!A24</x:f>
        <x:v>1</x:v>
      </x:c>
      <x:c r="B24" t="n">
        <x:f>'02b n^-1'!B24</x:f>
        <x:v>19</x:v>
      </x:c>
      <x:c r="C24" s="12" t="n">
        <x:f>SUM('02b n^-1'!C24:H24)/6</x:f>
        <x:v>0</x:v>
      </x:c>
      <x:c r="D24" t="n">
        <x:f>IF(A24=A23,--(ABS(C24-C23)&gt;0),0)</x:f>
        <x:v>0</x:v>
      </x:c>
    </x:row>
    <x:row r="25">
      <x:c r="A25" t="n">
        <x:f>'02b n^-1'!A25</x:f>
        <x:v>1</x:v>
      </x:c>
      <x:c r="B25" t="n">
        <x:f>'02b n^-1'!B25</x:f>
        <x:v>20</x:v>
      </x:c>
      <x:c r="C25" s="12" t="n">
        <x:f>SUM('02b n^-1'!C25:H25)/6</x:f>
        <x:v>0</x:v>
      </x:c>
      <x:c r="D25" t="n">
        <x:f>IF(A25=A24,--(ABS(C25-C24)&gt;0),0)</x:f>
        <x:v>0</x:v>
      </x:c>
    </x:row>
    <x:row r="26">
      <x:c r="A26" t="n">
        <x:f>'02b n^-1'!A26</x:f>
        <x:v>2</x:v>
      </x:c>
      <x:c r="B26" t="n">
        <x:f>'02b n^-1'!B26</x:f>
        <x:v>1</x:v>
      </x:c>
      <x:c r="C26" s="12" t="n">
        <x:f>SUM('02b n^-1'!C26:H26)/6</x:f>
        <x:v>0</x:v>
      </x:c>
      <x:c r="D26" t="n">
        <x:f>IF(A26=A25,--(ABS(C26-C25)&gt;0),0)</x:f>
        <x:v>0</x:v>
      </x:c>
    </x:row>
    <x:row r="27">
      <x:c r="A27" t="n">
        <x:f>'02b n^-1'!A27</x:f>
        <x:v>2</x:v>
      </x:c>
      <x:c r="B27" t="n">
        <x:f>'02b n^-1'!B27</x:f>
        <x:v>2</x:v>
      </x:c>
      <x:c r="C27" s="12" t="n">
        <x:f>SUM('02b n^-1'!C27:H27)/6</x:f>
        <x:v>0</x:v>
      </x:c>
      <x:c r="D27" t="n">
        <x:f>IF(A27=A26,--(ABS(C27-C26)&gt;0),0)</x:f>
        <x:v>0</x:v>
      </x:c>
    </x:row>
    <x:row r="28">
      <x:c r="A28" t="n">
        <x:f>'02b n^-1'!A28</x:f>
        <x:v>2</x:v>
      </x:c>
      <x:c r="B28" t="n">
        <x:f>'02b n^-1'!B28</x:f>
        <x:v>3</x:v>
      </x:c>
      <x:c r="C28" s="12" t="n">
        <x:f>SUM('02b n^-1'!C28:H28)/6</x:f>
        <x:v>0</x:v>
      </x:c>
      <x:c r="D28" t="n">
        <x:f>IF(A28=A27,--(ABS(C28-C27)&gt;0),0)</x:f>
        <x:v>0</x:v>
      </x:c>
    </x:row>
    <x:row r="29">
      <x:c r="A29" t="n">
        <x:f>'02b n^-1'!A29</x:f>
        <x:v>2</x:v>
      </x:c>
      <x:c r="B29" t="n">
        <x:f>'02b n^-1'!B29</x:f>
        <x:v>4</x:v>
      </x:c>
      <x:c r="C29" s="12" t="n">
        <x:f>SUM('02b n^-1'!C29:H29)/6</x:f>
        <x:v>0</x:v>
      </x:c>
      <x:c r="D29" t="n">
        <x:f>IF(A29=A28,--(ABS(C29-C28)&gt;0),0)</x:f>
        <x:v>0</x:v>
      </x:c>
    </x:row>
    <x:row r="30">
      <x:c r="A30" t="n">
        <x:f>'02b n^-1'!A30</x:f>
        <x:v>2</x:v>
      </x:c>
      <x:c r="B30" t="n">
        <x:f>'02b n^-1'!B30</x:f>
        <x:v>5</x:v>
      </x:c>
      <x:c r="C30" s="12" t="n">
        <x:f>SUM('02b n^-1'!C30:H30)/6</x:f>
        <x:v>0</x:v>
      </x:c>
      <x:c r="D30" t="n">
        <x:f>IF(A30=A29,--(ABS(C30-C29)&gt;0),0)</x:f>
        <x:v>0</x:v>
      </x:c>
    </x:row>
    <x:row r="31">
      <x:c r="A31" t="n">
        <x:f>'02b n^-1'!A31</x:f>
        <x:v>2</x:v>
      </x:c>
      <x:c r="B31" t="n">
        <x:f>'02b n^-1'!B31</x:f>
        <x:v>6</x:v>
      </x:c>
      <x:c r="C31" s="12" t="n">
        <x:f>SUM('02b n^-1'!C31:H31)/6</x:f>
        <x:v>0</x:v>
      </x:c>
      <x:c r="D31" t="n">
        <x:f>IF(A31=A30,--(ABS(C31-C30)&gt;0),0)</x:f>
        <x:v>0</x:v>
      </x:c>
    </x:row>
    <x:row r="32">
      <x:c r="A32" t="n">
        <x:f>'02b n^-1'!A32</x:f>
        <x:v>2</x:v>
      </x:c>
      <x:c r="B32" t="n">
        <x:f>'02b n^-1'!B32</x:f>
        <x:v>7</x:v>
      </x:c>
      <x:c r="C32" s="12" t="n">
        <x:f>SUM('02b n^-1'!C32:H32)/6</x:f>
        <x:v>0</x:v>
      </x:c>
      <x:c r="D32" t="n">
        <x:f>IF(A32=A31,--(ABS(C32-C31)&gt;0),0)</x:f>
        <x:v>0</x:v>
      </x:c>
    </x:row>
    <x:row r="33">
      <x:c r="A33" t="n">
        <x:f>'02b n^-1'!A33</x:f>
        <x:v>2</x:v>
      </x:c>
      <x:c r="B33" t="n">
        <x:f>'02b n^-1'!B33</x:f>
        <x:v>8</x:v>
      </x:c>
      <x:c r="C33" s="12" t="n">
        <x:f>SUM('02b n^-1'!C33:H33)/6</x:f>
        <x:v>0</x:v>
      </x:c>
      <x:c r="D33" t="n">
        <x:f>IF(A33=A32,--(ABS(C33-C32)&gt;0),0)</x:f>
        <x:v>0</x:v>
      </x:c>
    </x:row>
    <x:row r="34">
      <x:c r="A34" t="n">
        <x:f>'02b n^-1'!A34</x:f>
        <x:v>2</x:v>
      </x:c>
      <x:c r="B34" t="n">
        <x:f>'02b n^-1'!B34</x:f>
        <x:v>9</x:v>
      </x:c>
      <x:c r="C34" s="12" t="n">
        <x:f>SUM('02b n^-1'!C34:H34)/6</x:f>
        <x:v>0</x:v>
      </x:c>
      <x:c r="D34" t="n">
        <x:f>IF(A34=A33,--(ABS(C34-C33)&gt;0),0)</x:f>
        <x:v>0</x:v>
      </x:c>
    </x:row>
    <x:row r="35">
      <x:c r="A35" t="n">
        <x:f>'02b n^-1'!A35</x:f>
        <x:v>2</x:v>
      </x:c>
      <x:c r="B35" t="n">
        <x:f>'02b n^-1'!B35</x:f>
        <x:v>10</x:v>
      </x:c>
      <x:c r="C35" s="12" t="n">
        <x:f>SUM('02b n^-1'!C35:H35)/6</x:f>
        <x:v>0</x:v>
      </x:c>
      <x:c r="D35" t="n">
        <x:f>IF(A35=A34,--(ABS(C35-C34)&gt;0),0)</x:f>
        <x:v>0</x:v>
      </x:c>
    </x:row>
    <x:row r="36">
      <x:c r="A36" t="n">
        <x:f>'02b n^-1'!A36</x:f>
        <x:v>2</x:v>
      </x:c>
      <x:c r="B36" t="n">
        <x:f>'02b n^-1'!B36</x:f>
        <x:v>11</x:v>
      </x:c>
      <x:c r="C36" s="12" t="n">
        <x:f>SUM('02b n^-1'!C36:H36)/6</x:f>
        <x:v>0</x:v>
      </x:c>
      <x:c r="D36" t="n">
        <x:f>IF(A36=A35,--(ABS(C36-C35)&gt;0),0)</x:f>
        <x:v>0</x:v>
      </x:c>
    </x:row>
    <x:row r="37">
      <x:c r="A37" t="n">
        <x:f>'02b n^-1'!A37</x:f>
        <x:v>2</x:v>
      </x:c>
      <x:c r="B37" t="n">
        <x:f>'02b n^-1'!B37</x:f>
        <x:v>12</x:v>
      </x:c>
      <x:c r="C37" s="12" t="n">
        <x:f>SUM('02b n^-1'!C37:H37)/6</x:f>
        <x:v>0</x:v>
      </x:c>
      <x:c r="D37" t="n">
        <x:f>IF(A37=A36,--(ABS(C37-C36)&gt;0),0)</x:f>
        <x:v>0</x:v>
      </x:c>
    </x:row>
    <x:row r="38">
      <x:c r="A38" t="n">
        <x:f>'02b n^-1'!A38</x:f>
        <x:v>2</x:v>
      </x:c>
      <x:c r="B38" t="n">
        <x:f>'02b n^-1'!B38</x:f>
        <x:v>13</x:v>
      </x:c>
      <x:c r="C38" s="12" t="n">
        <x:f>SUM('02b n^-1'!C38:H38)/6</x:f>
        <x:v>0</x:v>
      </x:c>
      <x:c r="D38" t="n">
        <x:f>IF(A38=A37,--(ABS(C38-C37)&gt;0),0)</x:f>
        <x:v>0</x:v>
      </x:c>
    </x:row>
    <x:row r="39">
      <x:c r="A39" t="n">
        <x:f>'02b n^-1'!A39</x:f>
        <x:v>2</x:v>
      </x:c>
      <x:c r="B39" t="n">
        <x:f>'02b n^-1'!B39</x:f>
        <x:v>14</x:v>
      </x:c>
      <x:c r="C39" s="12" t="n">
        <x:f>SUM('02b n^-1'!C39:H39)/6</x:f>
        <x:v>0</x:v>
      </x:c>
      <x:c r="D39" t="n">
        <x:f>IF(A39=A38,--(ABS(C39-C38)&gt;0),0)</x:f>
        <x:v>0</x:v>
      </x:c>
    </x:row>
    <x:row r="40">
      <x:c r="A40" t="n">
        <x:f>'02b n^-1'!A40</x:f>
        <x:v>2</x:v>
      </x:c>
      <x:c r="B40" t="n">
        <x:f>'02b n^-1'!B40</x:f>
        <x:v>15</x:v>
      </x:c>
      <x:c r="C40" s="12" t="n">
        <x:f>SUM('02b n^-1'!C40:H40)/6</x:f>
        <x:v>0</x:v>
      </x:c>
      <x:c r="D40" t="n">
        <x:f>IF(A40=A39,--(ABS(C40-C39)&gt;0),0)</x:f>
        <x:v>0</x:v>
      </x:c>
    </x:row>
    <x:row r="41">
      <x:c r="A41" t="n">
        <x:f>'02b n^-1'!A41</x:f>
        <x:v>2</x:v>
      </x:c>
      <x:c r="B41" t="n">
        <x:f>'02b n^-1'!B41</x:f>
        <x:v>16</x:v>
      </x:c>
      <x:c r="C41" s="12" t="n">
        <x:f>SUM('02b n^-1'!C41:H41)/6</x:f>
        <x:v>0</x:v>
      </x:c>
      <x:c r="D41" t="n">
        <x:f>IF(A41=A40,--(ABS(C41-C40)&gt;0),0)</x:f>
        <x:v>0</x:v>
      </x:c>
    </x:row>
    <x:row r="42">
      <x:c r="A42" t="n">
        <x:f>'02b n^-1'!A42</x:f>
        <x:v>2</x:v>
      </x:c>
      <x:c r="B42" t="n">
        <x:f>'02b n^-1'!B42</x:f>
        <x:v>17</x:v>
      </x:c>
      <x:c r="C42" s="12" t="n">
        <x:f>SUM('02b n^-1'!C42:H42)/6</x:f>
        <x:v>0</x:v>
      </x:c>
      <x:c r="D42" t="n">
        <x:f>IF(A42=A41,--(ABS(C42-C41)&gt;0),0)</x:f>
        <x:v>0</x:v>
      </x:c>
    </x:row>
    <x:row r="43">
      <x:c r="A43" t="n">
        <x:f>'02b n^-1'!A43</x:f>
        <x:v>2</x:v>
      </x:c>
      <x:c r="B43" t="n">
        <x:f>'02b n^-1'!B43</x:f>
        <x:v>18</x:v>
      </x:c>
      <x:c r="C43" s="12" t="n">
        <x:f>SUM('02b n^-1'!C43:H43)/6</x:f>
        <x:v>0</x:v>
      </x:c>
      <x:c r="D43" t="n">
        <x:f>IF(A43=A42,--(ABS(C43-C42)&gt;0),0)</x:f>
        <x:v>0</x:v>
      </x:c>
    </x:row>
    <x:row r="44">
      <x:c r="A44" t="n">
        <x:f>'02b n^-1'!A44</x:f>
        <x:v>2</x:v>
      </x:c>
      <x:c r="B44" t="n">
        <x:f>'02b n^-1'!B44</x:f>
        <x:v>19</x:v>
      </x:c>
      <x:c r="C44" s="12" t="n">
        <x:f>SUM('02b n^-1'!C44:H44)/6</x:f>
        <x:v>0</x:v>
      </x:c>
      <x:c r="D44" t="n">
        <x:f>IF(A44=A43,--(ABS(C44-C43)&gt;0),0)</x:f>
        <x:v>0</x:v>
      </x:c>
    </x:row>
    <x:row r="45">
      <x:c r="A45" t="n">
        <x:f>'02b n^-1'!A45</x:f>
        <x:v>2</x:v>
      </x:c>
      <x:c r="B45" t="n">
        <x:f>'02b n^-1'!B45</x:f>
        <x:v>20</x:v>
      </x:c>
      <x:c r="C45" s="12" t="n">
        <x:f>SUM('02b n^-1'!C45:H45)/6</x:f>
        <x:v>0</x:v>
      </x:c>
      <x:c r="D45" t="n">
        <x:f>IF(A45=A44,--(ABS(C45-C44)&gt;0),0)</x:f>
        <x:v>0</x:v>
      </x:c>
    </x:row>
    <x:row r="46">
      <x:c r="A46" t="n">
        <x:f>'02b n^-1'!A46</x:f>
        <x:v>3</x:v>
      </x:c>
      <x:c r="B46" t="n">
        <x:f>'02b n^-1'!B46</x:f>
        <x:v>1</x:v>
      </x:c>
      <x:c r="C46" s="12" t="n">
        <x:f>SUM('02b n^-1'!C46:H46)/6</x:f>
        <x:v>0</x:v>
      </x:c>
      <x:c r="D46" t="n">
        <x:f>IF(A46=A45,--(ABS(C46-C45)&gt;0),0)</x:f>
        <x:v>0</x:v>
      </x:c>
    </x:row>
    <x:row r="47">
      <x:c r="A47" t="n">
        <x:f>'02b n^-1'!A47</x:f>
        <x:v>3</x:v>
      </x:c>
      <x:c r="B47" t="n">
        <x:f>'02b n^-1'!B47</x:f>
        <x:v>2</x:v>
      </x:c>
      <x:c r="C47" s="12" t="n">
        <x:f>SUM('02b n^-1'!C47:H47)/6</x:f>
        <x:v>0</x:v>
      </x:c>
      <x:c r="D47" t="n">
        <x:f>IF(A47=A46,--(ABS(C47-C46)&gt;0),0)</x:f>
        <x:v>0</x:v>
      </x:c>
    </x:row>
    <x:row r="48">
      <x:c r="A48" t="n">
        <x:f>'02b n^-1'!A48</x:f>
        <x:v>3</x:v>
      </x:c>
      <x:c r="B48" t="n">
        <x:f>'02b n^-1'!B48</x:f>
        <x:v>3</x:v>
      </x:c>
      <x:c r="C48" s="12" t="n">
        <x:f>SUM('02b n^-1'!C48:H48)/6</x:f>
        <x:v>0</x:v>
      </x:c>
      <x:c r="D48" t="n">
        <x:f>IF(A48=A47,--(ABS(C48-C47)&gt;0),0)</x:f>
        <x:v>0</x:v>
      </x:c>
    </x:row>
    <x:row r="49">
      <x:c r="A49" t="n">
        <x:f>'02b n^-1'!A49</x:f>
        <x:v>3</x:v>
      </x:c>
      <x:c r="B49" t="n">
        <x:f>'02b n^-1'!B49</x:f>
        <x:v>4</x:v>
      </x:c>
      <x:c r="C49" s="12" t="n">
        <x:f>SUM('02b n^-1'!C49:H49)/6</x:f>
        <x:v>0</x:v>
      </x:c>
      <x:c r="D49" t="n">
        <x:f>IF(A49=A48,--(ABS(C49-C48)&gt;0),0)</x:f>
        <x:v>0</x:v>
      </x:c>
    </x:row>
    <x:row r="50">
      <x:c r="A50" t="n">
        <x:f>'02b n^-1'!A50</x:f>
        <x:v>3</x:v>
      </x:c>
      <x:c r="B50" t="n">
        <x:f>'02b n^-1'!B50</x:f>
        <x:v>5</x:v>
      </x:c>
      <x:c r="C50" s="12" t="n">
        <x:f>SUM('02b n^-1'!C50:H50)/6</x:f>
        <x:v>0</x:v>
      </x:c>
      <x:c r="D50" t="n">
        <x:f>IF(A50=A49,--(ABS(C50-C49)&gt;0),0)</x:f>
        <x:v>0</x:v>
      </x:c>
    </x:row>
    <x:row r="51">
      <x:c r="A51" t="n">
        <x:f>'02b n^-1'!A51</x:f>
        <x:v>3</x:v>
      </x:c>
      <x:c r="B51" t="n">
        <x:f>'02b n^-1'!B51</x:f>
        <x:v>6</x:v>
      </x:c>
      <x:c r="C51" s="12" t="n">
        <x:f>SUM('02b n^-1'!C51:H51)/6</x:f>
        <x:v>0</x:v>
      </x:c>
      <x:c r="D51" t="n">
        <x:f>IF(A51=A50,--(ABS(C51-C50)&gt;0),0)</x:f>
        <x:v>0</x:v>
      </x:c>
    </x:row>
    <x:row r="52">
      <x:c r="A52" t="n">
        <x:f>'02b n^-1'!A52</x:f>
        <x:v>3</x:v>
      </x:c>
      <x:c r="B52" t="n">
        <x:f>'02b n^-1'!B52</x:f>
        <x:v>7</x:v>
      </x:c>
      <x:c r="C52" s="12" t="n">
        <x:f>SUM('02b n^-1'!C52:H52)/6</x:f>
        <x:v>0</x:v>
      </x:c>
      <x:c r="D52" t="n">
        <x:f>IF(A52=A51,--(ABS(C52-C51)&gt;0),0)</x:f>
        <x:v>0</x:v>
      </x:c>
    </x:row>
    <x:row r="53">
      <x:c r="A53" t="n">
        <x:f>'02b n^-1'!A53</x:f>
        <x:v>3</x:v>
      </x:c>
      <x:c r="B53" t="n">
        <x:f>'02b n^-1'!B53</x:f>
        <x:v>8</x:v>
      </x:c>
      <x:c r="C53" s="12" t="n">
        <x:f>SUM('02b n^-1'!C53:H53)/6</x:f>
        <x:v>0.16666666666666666</x:v>
      </x:c>
      <x:c r="D53" t="n">
        <x:f>IF(A53=A52,--(ABS(C53-C52)&gt;0),0)</x:f>
        <x:v>1</x:v>
      </x:c>
    </x:row>
    <x:row r="54">
      <x:c r="A54" t="n">
        <x:f>'02b n^-1'!A54</x:f>
        <x:v>3</x:v>
      </x:c>
      <x:c r="B54" t="n">
        <x:f>'02b n^-1'!B54</x:f>
        <x:v>9</x:v>
      </x:c>
      <x:c r="C54" s="12" t="n">
        <x:f>SUM('02b n^-1'!C54:H54)/6</x:f>
        <x:v>0.16666666666666666</x:v>
      </x:c>
      <x:c r="D54" t="n">
        <x:f>IF(A54=A53,--(ABS(C54-C53)&gt;0),0)</x:f>
        <x:v>0</x:v>
      </x:c>
    </x:row>
    <x:row r="55">
      <x:c r="A55" t="n">
        <x:f>'02b n^-1'!A55</x:f>
        <x:v>3</x:v>
      </x:c>
      <x:c r="B55" t="n">
        <x:f>'02b n^-1'!B55</x:f>
        <x:v>10</x:v>
      </x:c>
      <x:c r="C55" s="12" t="n">
        <x:f>SUM('02b n^-1'!C55:H55)/6</x:f>
        <x:v>0</x:v>
      </x:c>
      <x:c r="D55" t="n">
        <x:f>IF(A55=A54,--(ABS(C55-C54)&gt;0),0)</x:f>
        <x:v>1</x:v>
      </x:c>
    </x:row>
    <x:row r="56">
      <x:c r="A56" t="n">
        <x:f>'02b n^-1'!A56</x:f>
        <x:v>3</x:v>
      </x:c>
      <x:c r="B56" t="n">
        <x:f>'02b n^-1'!B56</x:f>
        <x:v>11</x:v>
      </x:c>
      <x:c r="C56" s="12" t="n">
        <x:f>SUM('02b n^-1'!C56:H56)/6</x:f>
        <x:v>0</x:v>
      </x:c>
      <x:c r="D56" t="n">
        <x:f>IF(A56=A55,--(ABS(C56-C55)&gt;0),0)</x:f>
        <x:v>0</x:v>
      </x:c>
    </x:row>
    <x:row r="57">
      <x:c r="A57" t="n">
        <x:f>'02b n^-1'!A57</x:f>
        <x:v>3</x:v>
      </x:c>
      <x:c r="B57" t="n">
        <x:f>'02b n^-1'!B57</x:f>
        <x:v>12</x:v>
      </x:c>
      <x:c r="C57" s="12" t="n">
        <x:f>SUM('02b n^-1'!C57:H57)/6</x:f>
        <x:v>0</x:v>
      </x:c>
      <x:c r="D57" t="n">
        <x:f>IF(A57=A56,--(ABS(C57-C56)&gt;0),0)</x:f>
        <x:v>0</x:v>
      </x:c>
    </x:row>
    <x:row r="58">
      <x:c r="A58" t="n">
        <x:f>'02b n^-1'!A58</x:f>
        <x:v>3</x:v>
      </x:c>
      <x:c r="B58" t="n">
        <x:f>'02b n^-1'!B58</x:f>
        <x:v>13</x:v>
      </x:c>
      <x:c r="C58" s="12" t="n">
        <x:f>SUM('02b n^-1'!C58:H58)/6</x:f>
        <x:v>0</x:v>
      </x:c>
      <x:c r="D58" t="n">
        <x:f>IF(A58=A57,--(ABS(C58-C57)&gt;0),0)</x:f>
        <x:v>0</x:v>
      </x:c>
    </x:row>
    <x:row r="59">
      <x:c r="A59" t="n">
        <x:f>'02b n^-1'!A59</x:f>
        <x:v>3</x:v>
      </x:c>
      <x:c r="B59" t="n">
        <x:f>'02b n^-1'!B59</x:f>
        <x:v>14</x:v>
      </x:c>
      <x:c r="C59" s="12" t="n">
        <x:f>SUM('02b n^-1'!C59:H59)/6</x:f>
        <x:v>0</x:v>
      </x:c>
      <x:c r="D59" t="n">
        <x:f>IF(A59=A58,--(ABS(C59-C58)&gt;0),0)</x:f>
        <x:v>0</x:v>
      </x:c>
    </x:row>
    <x:row r="60">
      <x:c r="A60" t="n">
        <x:f>'02b n^-1'!A60</x:f>
        <x:v>3</x:v>
      </x:c>
      <x:c r="B60" t="n">
        <x:f>'02b n^-1'!B60</x:f>
        <x:v>15</x:v>
      </x:c>
      <x:c r="C60" s="12" t="n">
        <x:f>SUM('02b n^-1'!C60:H60)/6</x:f>
        <x:v>0</x:v>
      </x:c>
      <x:c r="D60" t="n">
        <x:f>IF(A60=A59,--(ABS(C60-C59)&gt;0),0)</x:f>
        <x:v>0</x:v>
      </x:c>
    </x:row>
    <x:row r="61">
      <x:c r="A61" t="n">
        <x:f>'02b n^-1'!A61</x:f>
        <x:v>3</x:v>
      </x:c>
      <x:c r="B61" t="n">
        <x:f>'02b n^-1'!B61</x:f>
        <x:v>16</x:v>
      </x:c>
      <x:c r="C61" s="12" t="n">
        <x:f>SUM('02b n^-1'!C61:H61)/6</x:f>
        <x:v>0</x:v>
      </x:c>
      <x:c r="D61" t="n">
        <x:f>IF(A61=A60,--(ABS(C61-C60)&gt;0),0)</x:f>
        <x:v>0</x:v>
      </x:c>
    </x:row>
    <x:row r="62">
      <x:c r="A62" t="n">
        <x:f>'02b n^-1'!A62</x:f>
        <x:v>3</x:v>
      </x:c>
      <x:c r="B62" t="n">
        <x:f>'02b n^-1'!B62</x:f>
        <x:v>17</x:v>
      </x:c>
      <x:c r="C62" s="12" t="n">
        <x:f>SUM('02b n^-1'!C62:H62)/6</x:f>
        <x:v>0</x:v>
      </x:c>
      <x:c r="D62" t="n">
        <x:f>IF(A62=A61,--(ABS(C62-C61)&gt;0),0)</x:f>
        <x:v>0</x:v>
      </x:c>
    </x:row>
    <x:row r="63">
      <x:c r="A63" t="n">
        <x:f>'02b n^-1'!A63</x:f>
        <x:v>3</x:v>
      </x:c>
      <x:c r="B63" t="n">
        <x:f>'02b n^-1'!B63</x:f>
        <x:v>18</x:v>
      </x:c>
      <x:c r="C63" s="12" t="n">
        <x:f>SUM('02b n^-1'!C63:H63)/6</x:f>
        <x:v>0</x:v>
      </x:c>
      <x:c r="D63" t="n">
        <x:f>IF(A63=A62,--(ABS(C63-C62)&gt;0),0)</x:f>
        <x:v>0</x:v>
      </x:c>
    </x:row>
    <x:row r="64">
      <x:c r="A64" t="n">
        <x:f>'02b n^-1'!A64</x:f>
        <x:v>3</x:v>
      </x:c>
      <x:c r="B64" t="n">
        <x:f>'02b n^-1'!B64</x:f>
        <x:v>19</x:v>
      </x:c>
      <x:c r="C64" s="12" t="n">
        <x:f>SUM('02b n^-1'!C64:H64)/6</x:f>
        <x:v>0</x:v>
      </x:c>
      <x:c r="D64" t="n">
        <x:f>IF(A64=A63,--(ABS(C64-C63)&gt;0),0)</x:f>
        <x:v>0</x:v>
      </x:c>
    </x:row>
    <x:row r="65">
      <x:c r="A65" t="n">
        <x:f>'02b n^-1'!A65</x:f>
        <x:v>3</x:v>
      </x:c>
      <x:c r="B65" t="n">
        <x:f>'02b n^-1'!B65</x:f>
        <x:v>20</x:v>
      </x:c>
      <x:c r="C65" s="12" t="n">
        <x:f>SUM('02b n^-1'!C65:H65)/6</x:f>
        <x:v>0</x:v>
      </x:c>
      <x:c r="D65" t="n">
        <x:f>IF(A65=A64,--(ABS(C65-C64)&gt;0),0)</x:f>
        <x:v>0</x:v>
      </x:c>
    </x:row>
    <x:row r="66">
      <x:c r="A66" t="n">
        <x:f>'02b n^-1'!A66</x:f>
        <x:v>4</x:v>
      </x:c>
      <x:c r="B66" t="n">
        <x:f>'02b n^-1'!B66</x:f>
        <x:v>1</x:v>
      </x:c>
      <x:c r="C66" s="12" t="n">
        <x:f>SUM('02b n^-1'!C66:H66)/6</x:f>
        <x:v>0</x:v>
      </x:c>
      <x:c r="D66" t="n">
        <x:f>IF(A66=A65,--(ABS(C66-C65)&gt;0),0)</x:f>
        <x:v>0</x:v>
      </x:c>
    </x:row>
    <x:row r="67">
      <x:c r="A67" t="n">
        <x:f>'02b n^-1'!A67</x:f>
        <x:v>4</x:v>
      </x:c>
      <x:c r="B67" t="n">
        <x:f>'02b n^-1'!B67</x:f>
        <x:v>2</x:v>
      </x:c>
      <x:c r="C67" s="12" t="n">
        <x:f>SUM('02b n^-1'!C67:H67)/6</x:f>
        <x:v>0</x:v>
      </x:c>
      <x:c r="D67" t="n">
        <x:f>IF(A67=A66,--(ABS(C67-C66)&gt;0),0)</x:f>
        <x:v>0</x:v>
      </x:c>
    </x:row>
    <x:row r="68">
      <x:c r="A68" t="n">
        <x:f>'02b n^-1'!A68</x:f>
        <x:v>4</x:v>
      </x:c>
      <x:c r="B68" t="n">
        <x:f>'02b n^-1'!B68</x:f>
        <x:v>3</x:v>
      </x:c>
      <x:c r="C68" s="12" t="n">
        <x:f>SUM('02b n^-1'!C68:H68)/6</x:f>
        <x:v>0</x:v>
      </x:c>
      <x:c r="D68" t="n">
        <x:f>IF(A68=A67,--(ABS(C68-C67)&gt;0),0)</x:f>
        <x:v>0</x:v>
      </x:c>
    </x:row>
    <x:row r="69">
      <x:c r="A69" t="n">
        <x:f>'02b n^-1'!A69</x:f>
        <x:v>4</x:v>
      </x:c>
      <x:c r="B69" t="n">
        <x:f>'02b n^-1'!B69</x:f>
        <x:v>4</x:v>
      </x:c>
      <x:c r="C69" s="12" t="n">
        <x:f>SUM('02b n^-1'!C69:H69)/6</x:f>
        <x:v>0</x:v>
      </x:c>
      <x:c r="D69" t="n">
        <x:f>IF(A69=A68,--(ABS(C69-C68)&gt;0),0)</x:f>
        <x:v>0</x:v>
      </x:c>
    </x:row>
    <x:row r="70">
      <x:c r="A70" t="n">
        <x:f>'02b n^-1'!A70</x:f>
        <x:v>4</x:v>
      </x:c>
      <x:c r="B70" t="n">
        <x:f>'02b n^-1'!B70</x:f>
        <x:v>5</x:v>
      </x:c>
      <x:c r="C70" s="12" t="n">
        <x:f>SUM('02b n^-1'!C70:H70)/6</x:f>
        <x:v>0</x:v>
      </x:c>
      <x:c r="D70" t="n">
        <x:f>IF(A70=A69,--(ABS(C70-C69)&gt;0),0)</x:f>
        <x:v>0</x:v>
      </x:c>
    </x:row>
    <x:row r="71">
      <x:c r="A71" t="n">
        <x:f>'02b n^-1'!A71</x:f>
        <x:v>4</x:v>
      </x:c>
      <x:c r="B71" t="n">
        <x:f>'02b n^-1'!B71</x:f>
        <x:v>6</x:v>
      </x:c>
      <x:c r="C71" s="12" t="n">
        <x:f>SUM('02b n^-1'!C71:H71)/6</x:f>
        <x:v>0.16666666666666666</x:v>
      </x:c>
      <x:c r="D71" t="n">
        <x:f>IF(A71=A70,--(ABS(C71-C70)&gt;0),0)</x:f>
        <x:v>1</x:v>
      </x:c>
    </x:row>
    <x:row r="72">
      <x:c r="A72" t="n">
        <x:f>'02b n^-1'!A72</x:f>
        <x:v>4</x:v>
      </x:c>
      <x:c r="B72" t="n">
        <x:f>'02b n^-1'!B72</x:f>
        <x:v>7</x:v>
      </x:c>
      <x:c r="C72" s="12" t="n">
        <x:f>SUM('02b n^-1'!C72:H72)/6</x:f>
        <x:v>0</x:v>
      </x:c>
      <x:c r="D72" t="n">
        <x:f>IF(A72=A71,--(ABS(C72-C71)&gt;0),0)</x:f>
        <x:v>1</x:v>
      </x:c>
    </x:row>
    <x:row r="73">
      <x:c r="A73" t="n">
        <x:f>'02b n^-1'!A73</x:f>
        <x:v>4</x:v>
      </x:c>
      <x:c r="B73" t="n">
        <x:f>'02b n^-1'!B73</x:f>
        <x:v>8</x:v>
      </x:c>
      <x:c r="C73" s="12" t="n">
        <x:f>SUM('02b n^-1'!C73:H73)/6</x:f>
        <x:v>0.16666666666666666</x:v>
      </x:c>
      <x:c r="D73" t="n">
        <x:f>IF(A73=A72,--(ABS(C73-C72)&gt;0),0)</x:f>
        <x:v>1</x:v>
      </x:c>
    </x:row>
    <x:row r="74">
      <x:c r="A74" t="n">
        <x:f>'02b n^-1'!A74</x:f>
        <x:v>4</x:v>
      </x:c>
      <x:c r="B74" t="n">
        <x:f>'02b n^-1'!B74</x:f>
        <x:v>9</x:v>
      </x:c>
      <x:c r="C74" s="12" t="n">
        <x:f>SUM('02b n^-1'!C74:H74)/6</x:f>
        <x:v>0</x:v>
      </x:c>
      <x:c r="D74" t="n">
        <x:f>IF(A74=A73,--(ABS(C74-C73)&gt;0),0)</x:f>
        <x:v>1</x:v>
      </x:c>
    </x:row>
    <x:row r="75">
      <x:c r="A75" t="n">
        <x:f>'02b n^-1'!A75</x:f>
        <x:v>4</x:v>
      </x:c>
      <x:c r="B75" t="n">
        <x:f>'02b n^-1'!B75</x:f>
        <x:v>10</x:v>
      </x:c>
      <x:c r="C75" s="12" t="n">
        <x:f>SUM('02b n^-1'!C75:H75)/6</x:f>
        <x:v>0</x:v>
      </x:c>
      <x:c r="D75" t="n">
        <x:f>IF(A75=A74,--(ABS(C75-C74)&gt;0),0)</x:f>
        <x:v>0</x:v>
      </x:c>
    </x:row>
    <x:row r="76">
      <x:c r="A76" t="n">
        <x:f>'02b n^-1'!A76</x:f>
        <x:v>4</x:v>
      </x:c>
      <x:c r="B76" t="n">
        <x:f>'02b n^-1'!B76</x:f>
        <x:v>11</x:v>
      </x:c>
      <x:c r="C76" s="12" t="n">
        <x:f>SUM('02b n^-1'!C76:H76)/6</x:f>
        <x:v>0</x:v>
      </x:c>
      <x:c r="D76" t="n">
        <x:f>IF(A76=A75,--(ABS(C76-C75)&gt;0),0)</x:f>
        <x:v>0</x:v>
      </x:c>
    </x:row>
    <x:row r="77">
      <x:c r="A77" t="n">
        <x:f>'02b n^-1'!A77</x:f>
        <x:v>4</x:v>
      </x:c>
      <x:c r="B77" t="n">
        <x:f>'02b n^-1'!B77</x:f>
        <x:v>12</x:v>
      </x:c>
      <x:c r="C77" s="12" t="n">
        <x:f>SUM('02b n^-1'!C77:H77)/6</x:f>
        <x:v>0</x:v>
      </x:c>
      <x:c r="D77" t="n">
        <x:f>IF(A77=A76,--(ABS(C77-C76)&gt;0),0)</x:f>
        <x:v>0</x:v>
      </x:c>
    </x:row>
    <x:row r="78">
      <x:c r="A78" t="n">
        <x:f>'02b n^-1'!A78</x:f>
        <x:v>4</x:v>
      </x:c>
      <x:c r="B78" t="n">
        <x:f>'02b n^-1'!B78</x:f>
        <x:v>13</x:v>
      </x:c>
      <x:c r="C78" s="12" t="n">
        <x:f>SUM('02b n^-1'!C78:H78)/6</x:f>
        <x:v>0</x:v>
      </x:c>
      <x:c r="D78" t="n">
        <x:f>IF(A78=A77,--(ABS(C78-C77)&gt;0),0)</x:f>
        <x:v>0</x:v>
      </x:c>
    </x:row>
    <x:row r="79">
      <x:c r="A79" t="n">
        <x:f>'02b n^-1'!A79</x:f>
        <x:v>4</x:v>
      </x:c>
      <x:c r="B79" t="n">
        <x:f>'02b n^-1'!B79</x:f>
        <x:v>14</x:v>
      </x:c>
      <x:c r="C79" s="12" t="n">
        <x:f>SUM('02b n^-1'!C79:H79)/6</x:f>
        <x:v>0</x:v>
      </x:c>
      <x:c r="D79" t="n">
        <x:f>IF(A79=A78,--(ABS(C79-C78)&gt;0),0)</x:f>
        <x:v>0</x:v>
      </x:c>
    </x:row>
    <x:row r="80">
      <x:c r="A80" t="n">
        <x:f>'02b n^-1'!A80</x:f>
        <x:v>4</x:v>
      </x:c>
      <x:c r="B80" t="n">
        <x:f>'02b n^-1'!B80</x:f>
        <x:v>15</x:v>
      </x:c>
      <x:c r="C80" s="12" t="n">
        <x:f>SUM('02b n^-1'!C80:H80)/6</x:f>
        <x:v>0</x:v>
      </x:c>
      <x:c r="D80" t="n">
        <x:f>IF(A80=A79,--(ABS(C80-C79)&gt;0),0)</x:f>
        <x:v>0</x:v>
      </x:c>
    </x:row>
    <x:row r="81">
      <x:c r="A81" t="n">
        <x:f>'02b n^-1'!A81</x:f>
        <x:v>4</x:v>
      </x:c>
      <x:c r="B81" t="n">
        <x:f>'02b n^-1'!B81</x:f>
        <x:v>16</x:v>
      </x:c>
      <x:c r="C81" s="12" t="n">
        <x:f>SUM('02b n^-1'!C81:H81)/6</x:f>
        <x:v>0</x:v>
      </x:c>
      <x:c r="D81" t="n">
        <x:f>IF(A81=A80,--(ABS(C81-C80)&gt;0),0)</x:f>
        <x:v>0</x:v>
      </x:c>
    </x:row>
    <x:row r="82">
      <x:c r="A82" t="n">
        <x:f>'02b n^-1'!A82</x:f>
        <x:v>4</x:v>
      </x:c>
      <x:c r="B82" t="n">
        <x:f>'02b n^-1'!B82</x:f>
        <x:v>17</x:v>
      </x:c>
      <x:c r="C82" s="12" t="n">
        <x:f>SUM('02b n^-1'!C82:H82)/6</x:f>
        <x:v>0</x:v>
      </x:c>
      <x:c r="D82" t="n">
        <x:f>IF(A82=A81,--(ABS(C82-C81)&gt;0),0)</x:f>
        <x:v>0</x:v>
      </x:c>
    </x:row>
    <x:row r="83">
      <x:c r="A83" t="n">
        <x:f>'02b n^-1'!A83</x:f>
        <x:v>4</x:v>
      </x:c>
      <x:c r="B83" t="n">
        <x:f>'02b n^-1'!B83</x:f>
        <x:v>18</x:v>
      </x:c>
      <x:c r="C83" s="12" t="n">
        <x:f>SUM('02b n^-1'!C83:H83)/6</x:f>
        <x:v>0</x:v>
      </x:c>
      <x:c r="D83" t="n">
        <x:f>IF(A83=A82,--(ABS(C83-C82)&gt;0),0)</x:f>
        <x:v>0</x:v>
      </x:c>
    </x:row>
    <x:row r="84">
      <x:c r="A84" t="n">
        <x:f>'02b n^-1'!A84</x:f>
        <x:v>4</x:v>
      </x:c>
      <x:c r="B84" t="n">
        <x:f>'02b n^-1'!B84</x:f>
        <x:v>19</x:v>
      </x:c>
      <x:c r="C84" s="12" t="n">
        <x:f>SUM('02b n^-1'!C84:H84)/6</x:f>
        <x:v>0</x:v>
      </x:c>
      <x:c r="D84" t="n">
        <x:f>IF(A84=A83,--(ABS(C84-C83)&gt;0),0)</x:f>
        <x:v>0</x:v>
      </x:c>
    </x:row>
    <x:row r="85">
      <x:c r="A85" t="n">
        <x:f>'02b n^-1'!A85</x:f>
        <x:v>4</x:v>
      </x:c>
      <x:c r="B85" t="n">
        <x:f>'02b n^-1'!B85</x:f>
        <x:v>20</x:v>
      </x:c>
      <x:c r="C85" s="12" t="n">
        <x:f>SUM('02b n^-1'!C85:H85)/6</x:f>
        <x:v>0</x:v>
      </x:c>
      <x:c r="D85" t="n">
        <x:f>IF(A85=A84,--(ABS(C85-C84)&gt;0),0)</x:f>
        <x:v>0</x:v>
      </x:c>
    </x:row>
    <x:row r="86">
      <x:c r="A86" t="n">
        <x:f>'02b n^-1'!A86</x:f>
        <x:v>5</x:v>
      </x:c>
      <x:c r="B86" t="n">
        <x:f>'02b n^-1'!B86</x:f>
        <x:v>1</x:v>
      </x:c>
      <x:c r="C86" s="12" t="n">
        <x:f>SUM('02b n^-1'!C86:H86)/6</x:f>
        <x:v>0</x:v>
      </x:c>
      <x:c r="D86" t="n">
        <x:f>IF(A86=A85,--(ABS(C86-C85)&gt;0),0)</x:f>
        <x:v>0</x:v>
      </x:c>
    </x:row>
    <x:row r="87">
      <x:c r="A87" t="n">
        <x:f>'02b n^-1'!A87</x:f>
        <x:v>5</x:v>
      </x:c>
      <x:c r="B87" t="n">
        <x:f>'02b n^-1'!B87</x:f>
        <x:v>2</x:v>
      </x:c>
      <x:c r="C87" s="12" t="n">
        <x:f>SUM('02b n^-1'!C87:H87)/6</x:f>
        <x:v>0</x:v>
      </x:c>
      <x:c r="D87" t="n">
        <x:f>IF(A87=A86,--(ABS(C87-C86)&gt;0),0)</x:f>
        <x:v>0</x:v>
      </x:c>
    </x:row>
    <x:row r="88">
      <x:c r="A88" t="n">
        <x:f>'02b n^-1'!A88</x:f>
        <x:v>5</x:v>
      </x:c>
      <x:c r="B88" t="n">
        <x:f>'02b n^-1'!B88</x:f>
        <x:v>3</x:v>
      </x:c>
      <x:c r="C88" s="12" t="n">
        <x:f>SUM('02b n^-1'!C88:H88)/6</x:f>
        <x:v>0</x:v>
      </x:c>
      <x:c r="D88" t="n">
        <x:f>IF(A88=A87,--(ABS(C88-C87)&gt;0),0)</x:f>
        <x:v>0</x:v>
      </x:c>
    </x:row>
    <x:row r="89">
      <x:c r="A89" t="n">
        <x:f>'02b n^-1'!A89</x:f>
        <x:v>5</x:v>
      </x:c>
      <x:c r="B89" t="n">
        <x:f>'02b n^-1'!B89</x:f>
        <x:v>4</x:v>
      </x:c>
      <x:c r="C89" s="12" t="n">
        <x:f>SUM('02b n^-1'!C89:H89)/6</x:f>
        <x:v>0</x:v>
      </x:c>
      <x:c r="D89" t="n">
        <x:f>IF(A89=A88,--(ABS(C89-C88)&gt;0),0)</x:f>
        <x:v>0</x:v>
      </x:c>
    </x:row>
    <x:row r="90">
      <x:c r="A90" t="n">
        <x:f>'02b n^-1'!A90</x:f>
        <x:v>5</x:v>
      </x:c>
      <x:c r="B90" t="n">
        <x:f>'02b n^-1'!B90</x:f>
        <x:v>5</x:v>
      </x:c>
      <x:c r="C90" s="12" t="n">
        <x:f>SUM('02b n^-1'!C90:H90)/6</x:f>
        <x:v>0</x:v>
      </x:c>
      <x:c r="D90" t="n">
        <x:f>IF(A90=A89,--(ABS(C90-C89)&gt;0),0)</x:f>
        <x:v>0</x:v>
      </x:c>
    </x:row>
    <x:row r="91">
      <x:c r="A91" t="n">
        <x:f>'02b n^-1'!A91</x:f>
        <x:v>5</x:v>
      </x:c>
      <x:c r="B91" t="n">
        <x:f>'02b n^-1'!B91</x:f>
        <x:v>6</x:v>
      </x:c>
      <x:c r="C91" s="12" t="n">
        <x:f>SUM('02b n^-1'!C91:H91)/6</x:f>
        <x:v>0</x:v>
      </x:c>
      <x:c r="D91" t="n">
        <x:f>IF(A91=A90,--(ABS(C91-C90)&gt;0),0)</x:f>
        <x:v>0</x:v>
      </x:c>
    </x:row>
    <x:row r="92">
      <x:c r="A92" t="n">
        <x:f>'02b n^-1'!A92</x:f>
        <x:v>5</x:v>
      </x:c>
      <x:c r="B92" t="n">
        <x:f>'02b n^-1'!B92</x:f>
        <x:v>7</x:v>
      </x:c>
      <x:c r="C92" s="12" t="n">
        <x:f>SUM('02b n^-1'!C92:H92)/6</x:f>
        <x:v>0</x:v>
      </x:c>
      <x:c r="D92" t="n">
        <x:f>IF(A92=A91,--(ABS(C92-C91)&gt;0),0)</x:f>
        <x:v>0</x:v>
      </x:c>
    </x:row>
    <x:row r="93">
      <x:c r="A93" t="n">
        <x:f>'02b n^-1'!A93</x:f>
        <x:v>5</x:v>
      </x:c>
      <x:c r="B93" t="n">
        <x:f>'02b n^-1'!B93</x:f>
        <x:v>8</x:v>
      </x:c>
      <x:c r="C93" s="12" t="n">
        <x:f>SUM('02b n^-1'!C93:H93)/6</x:f>
        <x:v>0</x:v>
      </x:c>
      <x:c r="D93" t="n">
        <x:f>IF(A93=A92,--(ABS(C93-C92)&gt;0),0)</x:f>
        <x:v>0</x:v>
      </x:c>
    </x:row>
    <x:row r="94">
      <x:c r="A94" t="n">
        <x:f>'02b n^-1'!A94</x:f>
        <x:v>5</x:v>
      </x:c>
      <x:c r="B94" t="n">
        <x:f>'02b n^-1'!B94</x:f>
        <x:v>9</x:v>
      </x:c>
      <x:c r="C94" s="12" t="n">
        <x:f>SUM('02b n^-1'!C94:H94)/6</x:f>
        <x:v>0</x:v>
      </x:c>
      <x:c r="D94" t="n">
        <x:f>IF(A94=A93,--(ABS(C94-C93)&gt;0),0)</x:f>
        <x:v>0</x:v>
      </x:c>
    </x:row>
    <x:row r="95">
      <x:c r="A95" t="n">
        <x:f>'02b n^-1'!A95</x:f>
        <x:v>5</x:v>
      </x:c>
      <x:c r="B95" t="n">
        <x:f>'02b n^-1'!B95</x:f>
        <x:v>10</x:v>
      </x:c>
      <x:c r="C95" s="12" t="n">
        <x:f>SUM('02b n^-1'!C95:H95)/6</x:f>
        <x:v>0.16666666666666666</x:v>
      </x:c>
      <x:c r="D95" t="n">
        <x:f>IF(A95=A94,--(ABS(C95-C94)&gt;0),0)</x:f>
        <x:v>1</x:v>
      </x:c>
    </x:row>
    <x:row r="96">
      <x:c r="A96" t="n">
        <x:f>'02b n^-1'!A96</x:f>
        <x:v>5</x:v>
      </x:c>
      <x:c r="B96" t="n">
        <x:f>'02b n^-1'!B96</x:f>
        <x:v>11</x:v>
      </x:c>
      <x:c r="C96" s="12" t="n">
        <x:f>SUM('02b n^-1'!C96:H96)/6</x:f>
        <x:v>0.5</x:v>
      </x:c>
      <x:c r="D96" t="n">
        <x:f>IF(A96=A95,--(ABS(C96-C95)&gt;0),0)</x:f>
        <x:v>1</x:v>
      </x:c>
    </x:row>
    <x:row r="97">
      <x:c r="A97" t="n">
        <x:f>'02b n^-1'!A97</x:f>
        <x:v>5</x:v>
      </x:c>
      <x:c r="B97" t="n">
        <x:f>'02b n^-1'!B97</x:f>
        <x:v>12</x:v>
      </x:c>
      <x:c r="C97" s="12" t="n">
        <x:f>SUM('02b n^-1'!C97:H97)/6</x:f>
        <x:v>0</x:v>
      </x:c>
      <x:c r="D97" t="n">
        <x:f>IF(A97=A96,--(ABS(C97-C96)&gt;0),0)</x:f>
        <x:v>1</x:v>
      </x:c>
    </x:row>
    <x:row r="98">
      <x:c r="A98" t="n">
        <x:f>'02b n^-1'!A98</x:f>
        <x:v>5</x:v>
      </x:c>
      <x:c r="B98" t="n">
        <x:f>'02b n^-1'!B98</x:f>
        <x:v>13</x:v>
      </x:c>
      <x:c r="C98" s="12" t="n">
        <x:f>SUM('02b n^-1'!C98:H98)/6</x:f>
        <x:v>0</x:v>
      </x:c>
      <x:c r="D98" t="n">
        <x:f>IF(A98=A97,--(ABS(C98-C97)&gt;0),0)</x:f>
        <x:v>0</x:v>
      </x:c>
    </x:row>
    <x:row r="99">
      <x:c r="A99" t="n">
        <x:f>'02b n^-1'!A99</x:f>
        <x:v>5</x:v>
      </x:c>
      <x:c r="B99" t="n">
        <x:f>'02b n^-1'!B99</x:f>
        <x:v>14</x:v>
      </x:c>
      <x:c r="C99" s="12" t="n">
        <x:f>SUM('02b n^-1'!C99:H99)/6</x:f>
        <x:v>0</x:v>
      </x:c>
      <x:c r="D99" t="n">
        <x:f>IF(A99=A98,--(ABS(C99-C98)&gt;0),0)</x:f>
        <x:v>0</x:v>
      </x:c>
    </x:row>
    <x:row r="100">
      <x:c r="A100" t="n">
        <x:f>'02b n^-1'!A100</x:f>
        <x:v>5</x:v>
      </x:c>
      <x:c r="B100" t="n">
        <x:f>'02b n^-1'!B100</x:f>
        <x:v>15</x:v>
      </x:c>
      <x:c r="C100" s="12" t="n">
        <x:f>SUM('02b n^-1'!C100:H100)/6</x:f>
        <x:v>0</x:v>
      </x:c>
      <x:c r="D100" t="n">
        <x:f>IF(A100=A99,--(ABS(C100-C99)&gt;0),0)</x:f>
        <x:v>0</x:v>
      </x:c>
    </x:row>
    <x:row r="101">
      <x:c r="A101" t="n">
        <x:f>'02b n^-1'!A101</x:f>
        <x:v>5</x:v>
      </x:c>
      <x:c r="B101" t="n">
        <x:f>'02b n^-1'!B101</x:f>
        <x:v>16</x:v>
      </x:c>
      <x:c r="C101" s="12" t="n">
        <x:f>SUM('02b n^-1'!C101:H101)/6</x:f>
        <x:v>0</x:v>
      </x:c>
      <x:c r="D101" t="n">
        <x:f>IF(A101=A100,--(ABS(C101-C100)&gt;0),0)</x:f>
        <x:v>0</x:v>
      </x:c>
    </x:row>
    <x:row r="102">
      <x:c r="A102" t="n">
        <x:f>'02b n^-1'!A102</x:f>
        <x:v>5</x:v>
      </x:c>
      <x:c r="B102" t="n">
        <x:f>'02b n^-1'!B102</x:f>
        <x:v>17</x:v>
      </x:c>
      <x:c r="C102" s="12" t="n">
        <x:f>SUM('02b n^-1'!C102:H102)/6</x:f>
        <x:v>0</x:v>
      </x:c>
      <x:c r="D102" t="n">
        <x:f>IF(A102=A101,--(ABS(C102-C101)&gt;0),0)</x:f>
        <x:v>0</x:v>
      </x:c>
    </x:row>
    <x:row r="103">
      <x:c r="A103" t="n">
        <x:f>'02b n^-1'!A103</x:f>
        <x:v>5</x:v>
      </x:c>
      <x:c r="B103" t="n">
        <x:f>'02b n^-1'!B103</x:f>
        <x:v>18</x:v>
      </x:c>
      <x:c r="C103" s="12" t="n">
        <x:f>SUM('02b n^-1'!C103:H103)/6</x:f>
        <x:v>0</x:v>
      </x:c>
      <x:c r="D103" t="n">
        <x:f>IF(A103=A102,--(ABS(C103-C102)&gt;0),0)</x:f>
        <x:v>0</x:v>
      </x:c>
    </x:row>
    <x:row r="104">
      <x:c r="A104" t="n">
        <x:f>'02b n^-1'!A104</x:f>
        <x:v>5</x:v>
      </x:c>
      <x:c r="B104" t="n">
        <x:f>'02b n^-1'!B104</x:f>
        <x:v>19</x:v>
      </x:c>
      <x:c r="C104" s="12" t="n">
        <x:f>SUM('02b n^-1'!C104:H104)/6</x:f>
        <x:v>0</x:v>
      </x:c>
      <x:c r="D104" t="n">
        <x:f>IF(A104=A103,--(ABS(C104-C103)&gt;0),0)</x:f>
        <x:v>0</x:v>
      </x:c>
    </x:row>
    <x:row r="105">
      <x:c r="A105" t="n">
        <x:f>'02b n^-1'!A105</x:f>
        <x:v>5</x:v>
      </x:c>
      <x:c r="B105" t="n">
        <x:f>'02b n^-1'!B105</x:f>
        <x:v>20</x:v>
      </x:c>
      <x:c r="C105" s="12" t="n">
        <x:f>SUM('02b n^-1'!C105:H105)/6</x:f>
        <x:v>0</x:v>
      </x:c>
      <x:c r="D105" t="n">
        <x:f>IF(A105=A104,--(ABS(C105-C104)&gt;0),0)</x:f>
        <x:v>0</x:v>
      </x:c>
    </x:row>
    <x:row r="106">
      <x:c r="A106" t="n">
        <x:f>'02b n^-1'!A106</x:f>
        <x:v>6</x:v>
      </x:c>
      <x:c r="B106" t="n">
        <x:f>'02b n^-1'!B106</x:f>
        <x:v>1</x:v>
      </x:c>
      <x:c r="C106" s="12" t="n">
        <x:f>SUM('02b n^-1'!C106:H106)/6</x:f>
        <x:v>0</x:v>
      </x:c>
      <x:c r="D106" t="n">
        <x:f>IF(A106=A105,--(ABS(C106-C105)&gt;0),0)</x:f>
        <x:v>0</x:v>
      </x:c>
    </x:row>
    <x:row r="107">
      <x:c r="A107" t="n">
        <x:f>'02b n^-1'!A107</x:f>
        <x:v>6</x:v>
      </x:c>
      <x:c r="B107" t="n">
        <x:f>'02b n^-1'!B107</x:f>
        <x:v>2</x:v>
      </x:c>
      <x:c r="C107" s="12" t="n">
        <x:f>SUM('02b n^-1'!C107:H107)/6</x:f>
        <x:v>0</x:v>
      </x:c>
      <x:c r="D107" t="n">
        <x:f>IF(A107=A106,--(ABS(C107-C106)&gt;0),0)</x:f>
        <x:v>0</x:v>
      </x:c>
    </x:row>
    <x:row r="108">
      <x:c r="A108" t="n">
        <x:f>'02b n^-1'!A108</x:f>
        <x:v>6</x:v>
      </x:c>
      <x:c r="B108" t="n">
        <x:f>'02b n^-1'!B108</x:f>
        <x:v>3</x:v>
      </x:c>
      <x:c r="C108" s="12" t="n">
        <x:f>SUM('02b n^-1'!C108:H108)/6</x:f>
        <x:v>0</x:v>
      </x:c>
      <x:c r="D108" t="n">
        <x:f>IF(A108=A107,--(ABS(C108-C107)&gt;0),0)</x:f>
        <x:v>0</x:v>
      </x:c>
    </x:row>
    <x:row r="109">
      <x:c r="A109" t="n">
        <x:f>'02b n^-1'!A109</x:f>
        <x:v>6</x:v>
      </x:c>
      <x:c r="B109" t="n">
        <x:f>'02b n^-1'!B109</x:f>
        <x:v>4</x:v>
      </x:c>
      <x:c r="C109" s="12" t="n">
        <x:f>SUM('02b n^-1'!C109:H109)/6</x:f>
        <x:v>0</x:v>
      </x:c>
      <x:c r="D109" t="n">
        <x:f>IF(A109=A108,--(ABS(C109-C108)&gt;0),0)</x:f>
        <x:v>0</x:v>
      </x:c>
    </x:row>
    <x:row r="110">
      <x:c r="A110" t="n">
        <x:f>'02b n^-1'!A110</x:f>
        <x:v>6</x:v>
      </x:c>
      <x:c r="B110" t="n">
        <x:f>'02b n^-1'!B110</x:f>
        <x:v>5</x:v>
      </x:c>
      <x:c r="C110" s="12" t="n">
        <x:f>SUM('02b n^-1'!C110:H110)/6</x:f>
        <x:v>0</x:v>
      </x:c>
      <x:c r="D110" t="n">
        <x:f>IF(A110=A109,--(ABS(C110-C109)&gt;0),0)</x:f>
        <x:v>0</x:v>
      </x:c>
    </x:row>
    <x:row r="111">
      <x:c r="A111" t="n">
        <x:f>'02b n^-1'!A111</x:f>
        <x:v>6</x:v>
      </x:c>
      <x:c r="B111" t="n">
        <x:f>'02b n^-1'!B111</x:f>
        <x:v>6</x:v>
      </x:c>
      <x:c r="C111" s="12" t="n">
        <x:f>SUM('02b n^-1'!C111:H111)/6</x:f>
        <x:v>0.16666666666666666</x:v>
      </x:c>
      <x:c r="D111" t="n">
        <x:f>IF(A111=A110,--(ABS(C111-C110)&gt;0),0)</x:f>
        <x:v>1</x:v>
      </x:c>
    </x:row>
    <x:row r="112">
      <x:c r="A112" t="n">
        <x:f>'02b n^-1'!A112</x:f>
        <x:v>6</x:v>
      </x:c>
      <x:c r="B112" t="n">
        <x:f>'02b n^-1'!B112</x:f>
        <x:v>7</x:v>
      </x:c>
      <x:c r="C112" s="12" t="n">
        <x:f>SUM('02b n^-1'!C112:H112)/6</x:f>
        <x:v>0</x:v>
      </x:c>
      <x:c r="D112" t="n">
        <x:f>IF(A112=A111,--(ABS(C112-C111)&gt;0),0)</x:f>
        <x:v>1</x:v>
      </x:c>
    </x:row>
    <x:row r="113">
      <x:c r="A113" t="n">
        <x:f>'02b n^-1'!A113</x:f>
        <x:v>6</x:v>
      </x:c>
      <x:c r="B113" t="n">
        <x:f>'02b n^-1'!B113</x:f>
        <x:v>8</x:v>
      </x:c>
      <x:c r="C113" s="12" t="n">
        <x:f>SUM('02b n^-1'!C113:H113)/6</x:f>
        <x:v>0</x:v>
      </x:c>
      <x:c r="D113" t="n">
        <x:f>IF(A113=A112,--(ABS(C113-C112)&gt;0),0)</x:f>
        <x:v>0</x:v>
      </x:c>
    </x:row>
    <x:row r="114">
      <x:c r="A114" t="n">
        <x:f>'02b n^-1'!A114</x:f>
        <x:v>6</x:v>
      </x:c>
      <x:c r="B114" t="n">
        <x:f>'02b n^-1'!B114</x:f>
        <x:v>9</x:v>
      </x:c>
      <x:c r="C114" s="12" t="n">
        <x:f>SUM('02b n^-1'!C114:H114)/6</x:f>
        <x:v>0.16666666666666666</x:v>
      </x:c>
      <x:c r="D114" t="n">
        <x:f>IF(A114=A113,--(ABS(C114-C113)&gt;0),0)</x:f>
        <x:v>1</x:v>
      </x:c>
    </x:row>
    <x:row r="115">
      <x:c r="A115" t="n">
        <x:f>'02b n^-1'!A115</x:f>
        <x:v>6</x:v>
      </x:c>
      <x:c r="B115" t="n">
        <x:f>'02b n^-1'!B115</x:f>
        <x:v>10</x:v>
      </x:c>
      <x:c r="C115" s="12" t="n">
        <x:f>SUM('02b n^-1'!C115:H115)/6</x:f>
        <x:v>0.5</x:v>
      </x:c>
      <x:c r="D115" t="n">
        <x:f>IF(A115=A114,--(ABS(C115-C114)&gt;0),0)</x:f>
        <x:v>1</x:v>
      </x:c>
    </x:row>
    <x:row r="116">
      <x:c r="A116" t="n">
        <x:f>'02b n^-1'!A116</x:f>
        <x:v>6</x:v>
      </x:c>
      <x:c r="B116" t="n">
        <x:f>'02b n^-1'!B116</x:f>
        <x:v>11</x:v>
      </x:c>
      <x:c r="C116" s="12" t="n">
        <x:f>SUM('02b n^-1'!C116:H116)/6</x:f>
        <x:v>0</x:v>
      </x:c>
      <x:c r="D116" t="n">
        <x:f>IF(A116=A115,--(ABS(C116-C115)&gt;0),0)</x:f>
        <x:v>1</x:v>
      </x:c>
    </x:row>
    <x:row r="117">
      <x:c r="A117" t="n">
        <x:f>'02b n^-1'!A117</x:f>
        <x:v>6</x:v>
      </x:c>
      <x:c r="B117" t="n">
        <x:f>'02b n^-1'!B117</x:f>
        <x:v>12</x:v>
      </x:c>
      <x:c r="C117" s="12" t="n">
        <x:f>SUM('02b n^-1'!C117:H117)/6</x:f>
        <x:v>0</x:v>
      </x:c>
      <x:c r="D117" t="n">
        <x:f>IF(A117=A116,--(ABS(C117-C116)&gt;0),0)</x:f>
        <x:v>0</x:v>
      </x:c>
    </x:row>
    <x:row r="118">
      <x:c r="A118" t="n">
        <x:f>'02b n^-1'!A118</x:f>
        <x:v>6</x:v>
      </x:c>
      <x:c r="B118" t="n">
        <x:f>'02b n^-1'!B118</x:f>
        <x:v>13</x:v>
      </x:c>
      <x:c r="C118" s="12" t="n">
        <x:f>SUM('02b n^-1'!C118:H118)/6</x:f>
        <x:v>0</x:v>
      </x:c>
      <x:c r="D118" t="n">
        <x:f>IF(A118=A117,--(ABS(C118-C117)&gt;0),0)</x:f>
        <x:v>0</x:v>
      </x:c>
    </x:row>
    <x:row r="119">
      <x:c r="A119" t="n">
        <x:f>'02b n^-1'!A119</x:f>
        <x:v>6</x:v>
      </x:c>
      <x:c r="B119" t="n">
        <x:f>'02b n^-1'!B119</x:f>
        <x:v>14</x:v>
      </x:c>
      <x:c r="C119" s="12" t="n">
        <x:f>SUM('02b n^-1'!C119:H119)/6</x:f>
        <x:v>0</x:v>
      </x:c>
      <x:c r="D119" t="n">
        <x:f>IF(A119=A118,--(ABS(C119-C118)&gt;0),0)</x:f>
        <x:v>0</x:v>
      </x:c>
    </x:row>
    <x:row r="120">
      <x:c r="A120" t="n">
        <x:f>'02b n^-1'!A120</x:f>
        <x:v>6</x:v>
      </x:c>
      <x:c r="B120" t="n">
        <x:f>'02b n^-1'!B120</x:f>
        <x:v>15</x:v>
      </x:c>
      <x:c r="C120" s="12" t="n">
        <x:f>SUM('02b n^-1'!C120:H120)/6</x:f>
        <x:v>0.16666666666666666</x:v>
      </x:c>
      <x:c r="D120" t="n">
        <x:f>IF(A120=A119,--(ABS(C120-C119)&gt;0),0)</x:f>
        <x:v>1</x:v>
      </x:c>
    </x:row>
    <x:row r="121">
      <x:c r="A121" t="n">
        <x:f>'02b n^-1'!A121</x:f>
        <x:v>6</x:v>
      </x:c>
      <x:c r="B121" t="n">
        <x:f>'02b n^-1'!B121</x:f>
        <x:v>16</x:v>
      </x:c>
      <x:c r="C121" s="12" t="n">
        <x:f>SUM('02b n^-1'!C121:H121)/6</x:f>
        <x:v>0</x:v>
      </x:c>
      <x:c r="D121" t="n">
        <x:f>IF(A121=A120,--(ABS(C121-C120)&gt;0),0)</x:f>
        <x:v>1</x:v>
      </x:c>
    </x:row>
    <x:row r="122">
      <x:c r="A122" t="n">
        <x:f>'02b n^-1'!A122</x:f>
        <x:v>6</x:v>
      </x:c>
      <x:c r="B122" t="n">
        <x:f>'02b n^-1'!B122</x:f>
        <x:v>17</x:v>
      </x:c>
      <x:c r="C122" s="12" t="n">
        <x:f>SUM('02b n^-1'!C122:H122)/6</x:f>
        <x:v>0</x:v>
      </x:c>
      <x:c r="D122" t="n">
        <x:f>IF(A122=A121,--(ABS(C122-C121)&gt;0),0)</x:f>
        <x:v>0</x:v>
      </x:c>
    </x:row>
    <x:row r="123">
      <x:c r="A123" t="n">
        <x:f>'02b n^-1'!A123</x:f>
        <x:v>6</x:v>
      </x:c>
      <x:c r="B123" t="n">
        <x:f>'02b n^-1'!B123</x:f>
        <x:v>18</x:v>
      </x:c>
      <x:c r="C123" s="12" t="n">
        <x:f>SUM('02b n^-1'!C123:H123)/6</x:f>
        <x:v>0</x:v>
      </x:c>
      <x:c r="D123" t="n">
        <x:f>IF(A123=A122,--(ABS(C123-C122)&gt;0),0)</x:f>
        <x:v>0</x:v>
      </x:c>
    </x:row>
    <x:row r="124">
      <x:c r="A124" t="n">
        <x:f>'02b n^-1'!A124</x:f>
        <x:v>6</x:v>
      </x:c>
      <x:c r="B124" t="n">
        <x:f>'02b n^-1'!B124</x:f>
        <x:v>19</x:v>
      </x:c>
      <x:c r="C124" s="12" t="n">
        <x:f>SUM('02b n^-1'!C124:H124)/6</x:f>
        <x:v>0</x:v>
      </x:c>
      <x:c r="D124" t="n">
        <x:f>IF(A124=A123,--(ABS(C124-C123)&gt;0),0)</x:f>
        <x:v>0</x:v>
      </x:c>
    </x:row>
    <x:row r="125">
      <x:c r="A125" t="n">
        <x:f>'02b n^-1'!A125</x:f>
        <x:v>6</x:v>
      </x:c>
      <x:c r="B125" t="n">
        <x:f>'02b n^-1'!B125</x:f>
        <x:v>20</x:v>
      </x:c>
      <x:c r="C125" s="12" t="n">
        <x:f>SUM('02b n^-1'!C125:H125)/6</x:f>
        <x:v>0</x:v>
      </x:c>
      <x:c r="D125" t="n">
        <x:f>IF(A125=A124,--(ABS(C125-C124)&gt;0),0)</x:f>
        <x:v>0</x:v>
      </x:c>
    </x:row>
    <x:row r="126">
      <x:c r="A126" t="n">
        <x:f>'02b n^-1'!A126</x:f>
        <x:v>7</x:v>
      </x:c>
      <x:c r="B126" t="n">
        <x:f>'02b n^-1'!B126</x:f>
        <x:v>1</x:v>
      </x:c>
      <x:c r="C126" s="12" t="n">
        <x:f>SUM('02b n^-1'!C126:H126)/6</x:f>
        <x:v>0</x:v>
      </x:c>
      <x:c r="D126" t="n">
        <x:f>IF(A126=A125,--(ABS(C126-C125)&gt;0),0)</x:f>
        <x:v>0</x:v>
      </x:c>
    </x:row>
    <x:row r="127">
      <x:c r="A127" t="n">
        <x:f>'02b n^-1'!A127</x:f>
        <x:v>7</x:v>
      </x:c>
      <x:c r="B127" t="n">
        <x:f>'02b n^-1'!B127</x:f>
        <x:v>2</x:v>
      </x:c>
      <x:c r="C127" s="12" t="n">
        <x:f>SUM('02b n^-1'!C127:H127)/6</x:f>
        <x:v>0.6666666666666666</x:v>
      </x:c>
      <x:c r="D127" t="n">
        <x:f>IF(A127=A126,--(ABS(C127-C126)&gt;0),0)</x:f>
        <x:v>1</x:v>
      </x:c>
    </x:row>
    <x:row r="128">
      <x:c r="A128" t="n">
        <x:f>'02b n^-1'!A128</x:f>
        <x:v>7</x:v>
      </x:c>
      <x:c r="B128" t="n">
        <x:f>'02b n^-1'!B128</x:f>
        <x:v>3</x:v>
      </x:c>
      <x:c r="C128" s="12" t="n">
        <x:f>SUM('02b n^-1'!C128:H128)/6</x:f>
        <x:v>0.6666666666666666</x:v>
      </x:c>
      <x:c r="D128" t="n">
        <x:f>IF(A128=A127,--(ABS(C128-C127)&gt;0),0)</x:f>
        <x:v>0</x:v>
      </x:c>
    </x:row>
    <x:row r="129">
      <x:c r="A129" t="n">
        <x:f>'02b n^-1'!A129</x:f>
        <x:v>7</x:v>
      </x:c>
      <x:c r="B129" t="n">
        <x:f>'02b n^-1'!B129</x:f>
        <x:v>4</x:v>
      </x:c>
      <x:c r="C129" s="12" t="n">
        <x:f>SUM('02b n^-1'!C129:H129)/6</x:f>
        <x:v>0.8333333333333334</x:v>
      </x:c>
      <x:c r="D129" t="n">
        <x:f>IF(A129=A128,--(ABS(C129-C128)&gt;0),0)</x:f>
        <x:v>1</x:v>
      </x:c>
    </x:row>
    <x:row r="130">
      <x:c r="A130" t="n">
        <x:f>'02b n^-1'!A130</x:f>
        <x:v>7</x:v>
      </x:c>
      <x:c r="B130" t="n">
        <x:f>'02b n^-1'!B130</x:f>
        <x:v>5</x:v>
      </x:c>
      <x:c r="C130" s="12" t="n">
        <x:f>SUM('02b n^-1'!C130:H130)/6</x:f>
        <x:v>0.5</x:v>
      </x:c>
      <x:c r="D130" t="n">
        <x:f>IF(A130=A129,--(ABS(C130-C129)&gt;0),0)</x:f>
        <x:v>1</x:v>
      </x:c>
    </x:row>
    <x:row r="131">
      <x:c r="A131" t="n">
        <x:f>'02b n^-1'!A131</x:f>
        <x:v>7</x:v>
      </x:c>
      <x:c r="B131" t="n">
        <x:f>'02b n^-1'!B131</x:f>
        <x:v>6</x:v>
      </x:c>
      <x:c r="C131" s="12" t="n">
        <x:f>SUM('02b n^-1'!C131:H131)/6</x:f>
        <x:v>0.8333333333333334</x:v>
      </x:c>
      <x:c r="D131" t="n">
        <x:f>IF(A131=A130,--(ABS(C131-C130)&gt;0),0)</x:f>
        <x:v>1</x:v>
      </x:c>
    </x:row>
    <x:row r="132">
      <x:c r="A132" t="n">
        <x:f>'02b n^-1'!A132</x:f>
        <x:v>7</x:v>
      </x:c>
      <x:c r="B132" t="n">
        <x:f>'02b n^-1'!B132</x:f>
        <x:v>7</x:v>
      </x:c>
      <x:c r="C132" s="12" t="n">
        <x:f>SUM('02b n^-1'!C132:H132)/6</x:f>
        <x:v>0.6666666666666666</x:v>
      </x:c>
      <x:c r="D132" t="n">
        <x:f>IF(A132=A131,--(ABS(C132-C131)&gt;0),0)</x:f>
        <x:v>1</x:v>
      </x:c>
    </x:row>
    <x:row r="133">
      <x:c r="A133" t="n">
        <x:f>'02b n^-1'!A133</x:f>
        <x:v>7</x:v>
      </x:c>
      <x:c r="B133" t="n">
        <x:f>'02b n^-1'!B133</x:f>
        <x:v>8</x:v>
      </x:c>
      <x:c r="C133" s="12" t="n">
        <x:f>SUM('02b n^-1'!C133:H133)/6</x:f>
        <x:v>0.6666666666666666</x:v>
      </x:c>
      <x:c r="D133" t="n">
        <x:f>IF(A133=A132,--(ABS(C133-C132)&gt;0),0)</x:f>
        <x:v>0</x:v>
      </x:c>
    </x:row>
    <x:row r="134">
      <x:c r="A134" t="n">
        <x:f>'02b n^-1'!A134</x:f>
        <x:v>7</x:v>
      </x:c>
      <x:c r="B134" t="n">
        <x:f>'02b n^-1'!B134</x:f>
        <x:v>9</x:v>
      </x:c>
      <x:c r="C134" s="12" t="n">
        <x:f>SUM('02b n^-1'!C134:H134)/6</x:f>
        <x:v>0.5</x:v>
      </x:c>
      <x:c r="D134" t="n">
        <x:f>IF(A134=A133,--(ABS(C134-C133)&gt;0),0)</x:f>
        <x:v>1</x:v>
      </x:c>
    </x:row>
    <x:row r="135">
      <x:c r="A135" t="n">
        <x:f>'02b n^-1'!A135</x:f>
        <x:v>7</x:v>
      </x:c>
      <x:c r="B135" t="n">
        <x:f>'02b n^-1'!B135</x:f>
        <x:v>10</x:v>
      </x:c>
      <x:c r="C135" s="12" t="n">
        <x:f>SUM('02b n^-1'!C135:H135)/6</x:f>
        <x:v>0.8333333333333334</x:v>
      </x:c>
      <x:c r="D135" t="n">
        <x:f>IF(A135=A134,--(ABS(C135-C134)&gt;0),0)</x:f>
        <x:v>1</x:v>
      </x:c>
    </x:row>
    <x:row r="136">
      <x:c r="A136" t="n">
        <x:f>'02b n^-1'!A136</x:f>
        <x:v>7</x:v>
      </x:c>
      <x:c r="B136" t="n">
        <x:f>'02b n^-1'!B136</x:f>
        <x:v>11</x:v>
      </x:c>
      <x:c r="C136" s="12" t="n">
        <x:f>SUM('02b n^-1'!C136:H136)/6</x:f>
        <x:v>0.5</x:v>
      </x:c>
      <x:c r="D136" t="n">
        <x:f>IF(A136=A135,--(ABS(C136-C135)&gt;0),0)</x:f>
        <x:v>1</x:v>
      </x:c>
    </x:row>
    <x:row r="137">
      <x:c r="A137" t="n">
        <x:f>'02b n^-1'!A137</x:f>
        <x:v>7</x:v>
      </x:c>
      <x:c r="B137" t="n">
        <x:f>'02b n^-1'!B137</x:f>
        <x:v>12</x:v>
      </x:c>
      <x:c r="C137" s="12" t="n">
        <x:f>SUM('02b n^-1'!C137:H137)/6</x:f>
        <x:v>0.6666666666666666</x:v>
      </x:c>
      <x:c r="D137" t="n">
        <x:f>IF(A137=A136,--(ABS(C137-C136)&gt;0),0)</x:f>
        <x:v>1</x:v>
      </x:c>
    </x:row>
    <x:row r="138">
      <x:c r="A138" t="n">
        <x:f>'02b n^-1'!A138</x:f>
        <x:v>7</x:v>
      </x:c>
      <x:c r="B138" t="n">
        <x:f>'02b n^-1'!B138</x:f>
        <x:v>13</x:v>
      </x:c>
      <x:c r="C138" s="12" t="n">
        <x:f>SUM('02b n^-1'!C138:H138)/6</x:f>
        <x:v>0.6666666666666666</x:v>
      </x:c>
      <x:c r="D138" t="n">
        <x:f>IF(A138=A137,--(ABS(C138-C137)&gt;0),0)</x:f>
        <x:v>0</x:v>
      </x:c>
    </x:row>
    <x:row r="139">
      <x:c r="A139" t="n">
        <x:f>'02b n^-1'!A139</x:f>
        <x:v>7</x:v>
      </x:c>
      <x:c r="B139" t="n">
        <x:f>'02b n^-1'!B139</x:f>
        <x:v>14</x:v>
      </x:c>
      <x:c r="C139" s="12" t="n">
        <x:f>SUM('02b n^-1'!C139:H139)/6</x:f>
        <x:v>0.5</x:v>
      </x:c>
      <x:c r="D139" t="n">
        <x:f>IF(A139=A138,--(ABS(C139-C138)&gt;0),0)</x:f>
        <x:v>1</x:v>
      </x:c>
    </x:row>
    <x:row r="140">
      <x:c r="A140" t="n">
        <x:f>'02b n^-1'!A140</x:f>
        <x:v>7</x:v>
      </x:c>
      <x:c r="B140" t="n">
        <x:f>'02b n^-1'!B140</x:f>
        <x:v>15</x:v>
      </x:c>
      <x:c r="C140" s="12" t="n">
        <x:f>SUM('02b n^-1'!C140:H140)/6</x:f>
        <x:v>0.6666666666666666</x:v>
      </x:c>
      <x:c r="D140" t="n">
        <x:f>IF(A140=A139,--(ABS(C140-C139)&gt;0),0)</x:f>
        <x:v>1</x:v>
      </x:c>
    </x:row>
    <x:row r="141">
      <x:c r="A141" t="n">
        <x:f>'02b n^-1'!A141</x:f>
        <x:v>7</x:v>
      </x:c>
      <x:c r="B141" t="n">
        <x:f>'02b n^-1'!B141</x:f>
        <x:v>16</x:v>
      </x:c>
      <x:c r="C141" s="12" t="n">
        <x:f>SUM('02b n^-1'!C141:H141)/6</x:f>
        <x:v>0.6666666666666666</x:v>
      </x:c>
      <x:c r="D141" t="n">
        <x:f>IF(A141=A140,--(ABS(C141-C140)&gt;0),0)</x:f>
        <x:v>0</x:v>
      </x:c>
    </x:row>
    <x:row r="142">
      <x:c r="A142" t="n">
        <x:f>'02b n^-1'!A142</x:f>
        <x:v>7</x:v>
      </x:c>
      <x:c r="B142" t="n">
        <x:f>'02b n^-1'!B142</x:f>
        <x:v>17</x:v>
      </x:c>
      <x:c r="C142" s="12" t="n">
        <x:f>SUM('02b n^-1'!C142:H142)/6</x:f>
        <x:v>0.5</x:v>
      </x:c>
      <x:c r="D142" t="n">
        <x:f>IF(A142=A141,--(ABS(C142-C141)&gt;0),0)</x:f>
        <x:v>1</x:v>
      </x:c>
    </x:row>
    <x:row r="143">
      <x:c r="A143" t="n">
        <x:f>'02b n^-1'!A143</x:f>
        <x:v>7</x:v>
      </x:c>
      <x:c r="B143" t="n">
        <x:f>'02b n^-1'!B143</x:f>
        <x:v>18</x:v>
      </x:c>
      <x:c r="C143" s="12" t="n">
        <x:f>SUM('02b n^-1'!C143:H143)/6</x:f>
        <x:v>0.6666666666666666</x:v>
      </x:c>
      <x:c r="D143" t="n">
        <x:f>IF(A143=A142,--(ABS(C143-C142)&gt;0),0)</x:f>
        <x:v>1</x:v>
      </x:c>
    </x:row>
    <x:row r="144">
      <x:c r="A144" t="n">
        <x:f>'02b n^-1'!A144</x:f>
        <x:v>7</x:v>
      </x:c>
      <x:c r="B144" t="n">
        <x:f>'02b n^-1'!B144</x:f>
        <x:v>19</x:v>
      </x:c>
      <x:c r="C144" s="12" t="n">
        <x:f>SUM('02b n^-1'!C144:H144)/6</x:f>
        <x:v>0.6666666666666666</x:v>
      </x:c>
      <x:c r="D144" t="n">
        <x:f>IF(A144=A143,--(ABS(C144-C143)&gt;0),0)</x:f>
        <x:v>0</x:v>
      </x:c>
    </x:row>
    <x:row r="145">
      <x:c r="A145" t="n">
        <x:f>'02b n^-1'!A145</x:f>
        <x:v>7</x:v>
      </x:c>
      <x:c r="B145" t="n">
        <x:f>'02b n^-1'!B145</x:f>
        <x:v>20</x:v>
      </x:c>
      <x:c r="C145" s="12" t="n">
        <x:f>SUM('02b n^-1'!C145:H145)/6</x:f>
        <x:v>0.5</x:v>
      </x:c>
      <x:c r="D145" t="n">
        <x:f>IF(A145=A144,--(ABS(C145-C144)&gt;0),0)</x:f>
        <x:v>1</x:v>
      </x:c>
    </x:row>
    <x:row r="146">
      <x:c r="A146" t="n">
        <x:f>'02b n^-1'!A146</x:f>
        <x:v>8</x:v>
      </x:c>
      <x:c r="B146" t="n">
        <x:f>'02b n^-1'!B146</x:f>
        <x:v>1</x:v>
      </x:c>
      <x:c r="C146" s="12" t="n">
        <x:f>SUM('02b n^-1'!C146:H146)/6</x:f>
        <x:v>0</x:v>
      </x:c>
      <x:c r="D146" t="n">
        <x:f>IF(A146=A145,--(ABS(C146-C145)&gt;0),0)</x:f>
        <x:v>0</x:v>
      </x:c>
    </x:row>
    <x:row r="147">
      <x:c r="A147" t="n">
        <x:f>'02b n^-1'!A147</x:f>
        <x:v>8</x:v>
      </x:c>
      <x:c r="B147" t="n">
        <x:f>'02b n^-1'!B147</x:f>
        <x:v>2</x:v>
      </x:c>
      <x:c r="C147" s="12" t="n">
        <x:f>SUM('02b n^-1'!C147:H147)/6</x:f>
        <x:v>0</x:v>
      </x:c>
      <x:c r="D147" t="n">
        <x:f>IF(A147=A146,--(ABS(C147-C146)&gt;0),0)</x:f>
        <x:v>0</x:v>
      </x:c>
    </x:row>
    <x:row r="148">
      <x:c r="A148" t="n">
        <x:f>'02b n^-1'!A148</x:f>
        <x:v>8</x:v>
      </x:c>
      <x:c r="B148" t="n">
        <x:f>'02b n^-1'!B148</x:f>
        <x:v>3</x:v>
      </x:c>
      <x:c r="C148" s="12" t="n">
        <x:f>SUM('02b n^-1'!C148:H148)/6</x:f>
        <x:v>0.16666666666666666</x:v>
      </x:c>
      <x:c r="D148" t="n">
        <x:f>IF(A148=A147,--(ABS(C148-C147)&gt;0),0)</x:f>
        <x:v>1</x:v>
      </x:c>
    </x:row>
    <x:row r="149">
      <x:c r="A149" t="n">
        <x:f>'02b n^-1'!A149</x:f>
        <x:v>8</x:v>
      </x:c>
      <x:c r="B149" t="n">
        <x:f>'02b n^-1'!B149</x:f>
        <x:v>4</x:v>
      </x:c>
      <x:c r="C149" s="12" t="n">
        <x:f>SUM('02b n^-1'!C149:H149)/6</x:f>
        <x:v>0.5</x:v>
      </x:c>
      <x:c r="D149" t="n">
        <x:f>IF(A149=A148,--(ABS(C149-C148)&gt;0),0)</x:f>
        <x:v>1</x:v>
      </x:c>
    </x:row>
    <x:row r="150">
      <x:c r="A150" t="n">
        <x:f>'02b n^-1'!A150</x:f>
        <x:v>8</x:v>
      </x:c>
      <x:c r="B150" t="n">
        <x:f>'02b n^-1'!B150</x:f>
        <x:v>5</x:v>
      </x:c>
      <x:c r="C150" s="12" t="n">
        <x:f>SUM('02b n^-1'!C150:H150)/6</x:f>
        <x:v>0.5</x:v>
      </x:c>
      <x:c r="D150" t="n">
        <x:f>IF(A150=A149,--(ABS(C150-C149)&gt;0),0)</x:f>
        <x:v>0</x:v>
      </x:c>
    </x:row>
    <x:row r="151">
      <x:c r="A151" t="n">
        <x:f>'02b n^-1'!A151</x:f>
        <x:v>8</x:v>
      </x:c>
      <x:c r="B151" t="n">
        <x:f>'02b n^-1'!B151</x:f>
        <x:v>6</x:v>
      </x:c>
      <x:c r="C151" s="12" t="n">
        <x:f>SUM('02b n^-1'!C151:H151)/6</x:f>
        <x:v>0.6666666666666666</x:v>
      </x:c>
      <x:c r="D151" t="n">
        <x:f>IF(A151=A150,--(ABS(C151-C150)&gt;0),0)</x:f>
        <x:v>1</x:v>
      </x:c>
    </x:row>
    <x:row r="152">
      <x:c r="A152" t="n">
        <x:f>'02b n^-1'!A152</x:f>
        <x:v>8</x:v>
      </x:c>
      <x:c r="B152" t="n">
        <x:f>'02b n^-1'!B152</x:f>
        <x:v>7</x:v>
      </x:c>
      <x:c r="C152" s="12" t="n">
        <x:f>SUM('02b n^-1'!C152:H152)/6</x:f>
        <x:v>0.6666666666666666</x:v>
      </x:c>
      <x:c r="D152" t="n">
        <x:f>IF(A152=A151,--(ABS(C152-C151)&gt;0),0)</x:f>
        <x:v>0</x:v>
      </x:c>
    </x:row>
    <x:row r="153">
      <x:c r="A153" t="n">
        <x:f>'02b n^-1'!A153</x:f>
        <x:v>8</x:v>
      </x:c>
      <x:c r="B153" t="n">
        <x:f>'02b n^-1'!B153</x:f>
        <x:v>8</x:v>
      </x:c>
      <x:c r="C153" s="12" t="n">
        <x:f>SUM('02b n^-1'!C153:H153)/6</x:f>
        <x:v>0.5</x:v>
      </x:c>
      <x:c r="D153" t="n">
        <x:f>IF(A153=A152,--(ABS(C153-C152)&gt;0),0)</x:f>
        <x:v>1</x:v>
      </x:c>
    </x:row>
    <x:row r="154">
      <x:c r="A154" t="n">
        <x:f>'02b n^-1'!A154</x:f>
        <x:v>8</x:v>
      </x:c>
      <x:c r="B154" t="n">
        <x:f>'02b n^-1'!B154</x:f>
        <x:v>9</x:v>
      </x:c>
      <x:c r="C154" s="12" t="n">
        <x:f>SUM('02b n^-1'!C154:H154)/6</x:f>
        <x:v>0.16666666666666666</x:v>
      </x:c>
      <x:c r="D154" t="n">
        <x:f>IF(A154=A153,--(ABS(C154-C153)&gt;0),0)</x:f>
        <x:v>1</x:v>
      </x:c>
    </x:row>
    <x:row r="155">
      <x:c r="A155" t="n">
        <x:f>'02b n^-1'!A155</x:f>
        <x:v>8</x:v>
      </x:c>
      <x:c r="B155" t="n">
        <x:f>'02b n^-1'!B155</x:f>
        <x:v>10</x:v>
      </x:c>
      <x:c r="C155" s="12" t="n">
        <x:f>SUM('02b n^-1'!C155:H155)/6</x:f>
        <x:v>0.16666666666666666</x:v>
      </x:c>
      <x:c r="D155" t="n">
        <x:f>IF(A155=A154,--(ABS(C155-C154)&gt;0),0)</x:f>
        <x:v>0</x:v>
      </x:c>
    </x:row>
    <x:row r="156">
      <x:c r="A156" t="n">
        <x:f>'02b n^-1'!A156</x:f>
        <x:v>8</x:v>
      </x:c>
      <x:c r="B156" t="n">
        <x:f>'02b n^-1'!B156</x:f>
        <x:v>11</x:v>
      </x:c>
      <x:c r="C156" s="12" t="n">
        <x:f>SUM('02b n^-1'!C156:H156)/6</x:f>
        <x:v>0.16666666666666666</x:v>
      </x:c>
      <x:c r="D156" t="n">
        <x:f>IF(A156=A155,--(ABS(C156-C155)&gt;0),0)</x:f>
        <x:v>0</x:v>
      </x:c>
    </x:row>
    <x:row r="157">
      <x:c r="A157" t="n">
        <x:f>'02b n^-1'!A157</x:f>
        <x:v>8</x:v>
      </x:c>
      <x:c r="B157" t="n">
        <x:f>'02b n^-1'!B157</x:f>
        <x:v>12</x:v>
      </x:c>
      <x:c r="C157" s="12" t="n">
        <x:f>SUM('02b n^-1'!C157:H157)/6</x:f>
        <x:v>0.6666666666666666</x:v>
      </x:c>
      <x:c r="D157" t="n">
        <x:f>IF(A157=A156,--(ABS(C157-C156)&gt;0),0)</x:f>
        <x:v>1</x:v>
      </x:c>
    </x:row>
    <x:row r="158">
      <x:c r="A158" t="n">
        <x:f>'02b n^-1'!A158</x:f>
        <x:v>8</x:v>
      </x:c>
      <x:c r="B158" t="n">
        <x:f>'02b n^-1'!B158</x:f>
        <x:v>13</x:v>
      </x:c>
      <x:c r="C158" s="12" t="n">
        <x:f>SUM('02b n^-1'!C158:H158)/6</x:f>
        <x:v>0.6666666666666666</x:v>
      </x:c>
      <x:c r="D158" t="n">
        <x:f>IF(A158=A157,--(ABS(C158-C157)&gt;0),0)</x:f>
        <x:v>0</x:v>
      </x:c>
    </x:row>
    <x:row r="159">
      <x:c r="A159" t="n">
        <x:f>'02b n^-1'!A159</x:f>
        <x:v>8</x:v>
      </x:c>
      <x:c r="B159" t="n">
        <x:f>'02b n^-1'!B159</x:f>
        <x:v>14</x:v>
      </x:c>
      <x:c r="C159" s="12" t="n">
        <x:f>SUM('02b n^-1'!C159:H159)/6</x:f>
        <x:v>0.16666666666666666</x:v>
      </x:c>
      <x:c r="D159" t="n">
        <x:f>IF(A159=A158,--(ABS(C159-C158)&gt;0),0)</x:f>
        <x:v>1</x:v>
      </x:c>
    </x:row>
    <x:row r="160">
      <x:c r="A160" t="n">
        <x:f>'02b n^-1'!A160</x:f>
        <x:v>8</x:v>
      </x:c>
      <x:c r="B160" t="n">
        <x:f>'02b n^-1'!B160</x:f>
        <x:v>15</x:v>
      </x:c>
      <x:c r="C160" s="12" t="n">
        <x:f>SUM('02b n^-1'!C160:H160)/6</x:f>
        <x:v>0.16666666666666666</x:v>
      </x:c>
      <x:c r="D160" t="n">
        <x:f>IF(A160=A159,--(ABS(C160-C159)&gt;0),0)</x:f>
        <x:v>0</x:v>
      </x:c>
    </x:row>
    <x:row r="161">
      <x:c r="A161" t="n">
        <x:f>'02b n^-1'!A161</x:f>
        <x:v>8</x:v>
      </x:c>
      <x:c r="B161" t="n">
        <x:f>'02b n^-1'!B161</x:f>
        <x:v>16</x:v>
      </x:c>
      <x:c r="C161" s="12" t="n">
        <x:f>SUM('02b n^-1'!C161:H161)/6</x:f>
        <x:v>0.16666666666666666</x:v>
      </x:c>
      <x:c r="D161" t="n">
        <x:f>IF(A161=A160,--(ABS(C161-C160)&gt;0),0)</x:f>
        <x:v>0</x:v>
      </x:c>
    </x:row>
    <x:row r="162">
      <x:c r="A162" t="n">
        <x:f>'02b n^-1'!A162</x:f>
        <x:v>8</x:v>
      </x:c>
      <x:c r="B162" t="n">
        <x:f>'02b n^-1'!B162</x:f>
        <x:v>17</x:v>
      </x:c>
      <x:c r="C162" s="12" t="n">
        <x:f>SUM('02b n^-1'!C162:H162)/6</x:f>
        <x:v>0.16666666666666666</x:v>
      </x:c>
      <x:c r="D162" t="n">
        <x:f>IF(A162=A161,--(ABS(C162-C161)&gt;0),0)</x:f>
        <x:v>0</x:v>
      </x:c>
    </x:row>
    <x:row r="163">
      <x:c r="A163" t="n">
        <x:f>'02b n^-1'!A163</x:f>
        <x:v>8</x:v>
      </x:c>
      <x:c r="B163" t="n">
        <x:f>'02b n^-1'!B163</x:f>
        <x:v>18</x:v>
      </x:c>
      <x:c r="C163" s="12" t="n">
        <x:f>SUM('02b n^-1'!C163:H163)/6</x:f>
        <x:v>0.5</x:v>
      </x:c>
      <x:c r="D163" t="n">
        <x:f>IF(A163=A162,--(ABS(C163-C162)&gt;0),0)</x:f>
        <x:v>1</x:v>
      </x:c>
    </x:row>
    <x:row r="164">
      <x:c r="A164" t="n">
        <x:f>'02b n^-1'!A164</x:f>
        <x:v>8</x:v>
      </x:c>
      <x:c r="B164" t="n">
        <x:f>'02b n^-1'!B164</x:f>
        <x:v>19</x:v>
      </x:c>
      <x:c r="C164" s="12" t="n">
        <x:f>SUM('02b n^-1'!C164:H164)/6</x:f>
        <x:v>0.5</x:v>
      </x:c>
      <x:c r="D164" t="n">
        <x:f>IF(A164=A163,--(ABS(C164-C163)&gt;0),0)</x:f>
        <x:v>0</x:v>
      </x:c>
    </x:row>
    <x:row r="165">
      <x:c r="A165" t="n">
        <x:f>'02b n^-1'!A165</x:f>
        <x:v>8</x:v>
      </x:c>
      <x:c r="B165" t="n">
        <x:f>'02b n^-1'!B165</x:f>
        <x:v>20</x:v>
      </x:c>
      <x:c r="C165" s="12" t="n">
        <x:f>SUM('02b n^-1'!C165:H165)/6</x:f>
        <x:v>0.5</x:v>
      </x:c>
      <x:c r="D165" t="n">
        <x:f>IF(A165=A164,--(ABS(C165-C164)&gt;0),0)</x:f>
        <x:v>0</x:v>
      </x:c>
    </x:row>
    <x:row r="166">
      <x:c r="A166" t="n">
        <x:f>'02b n^-1'!A166</x:f>
        <x:v>9</x:v>
      </x:c>
      <x:c r="B166" t="n">
        <x:f>'02b n^-1'!B166</x:f>
        <x:v>1</x:v>
      </x:c>
      <x:c r="C166" s="12" t="n">
        <x:f>SUM('02b n^-1'!C166:H166)/6</x:f>
        <x:v>0</x:v>
      </x:c>
      <x:c r="D166" t="n">
        <x:f>IF(A166=A165,--(ABS(C166-C165)&gt;0),0)</x:f>
        <x:v>0</x:v>
      </x:c>
    </x:row>
    <x:row r="167">
      <x:c r="A167" t="n">
        <x:f>'02b n^-1'!A167</x:f>
        <x:v>9</x:v>
      </x:c>
      <x:c r="B167" t="n">
        <x:f>'02b n^-1'!B167</x:f>
        <x:v>2</x:v>
      </x:c>
      <x:c r="C167" s="12" t="n">
        <x:f>SUM('02b n^-1'!C167:H167)/6</x:f>
        <x:v>0.16666666666666666</x:v>
      </x:c>
      <x:c r="D167" t="n">
        <x:f>IF(A167=A166,--(ABS(C167-C166)&gt;0),0)</x:f>
        <x:v>1</x:v>
      </x:c>
    </x:row>
    <x:row r="168">
      <x:c r="A168" t="n">
        <x:f>'02b n^-1'!A168</x:f>
        <x:v>9</x:v>
      </x:c>
      <x:c r="B168" t="n">
        <x:f>'02b n^-1'!B168</x:f>
        <x:v>3</x:v>
      </x:c>
      <x:c r="C168" s="12" t="n">
        <x:f>SUM('02b n^-1'!C168:H168)/6</x:f>
        <x:v>0.5</x:v>
      </x:c>
      <x:c r="D168" t="n">
        <x:f>IF(A168=A167,--(ABS(C168-C167)&gt;0),0)</x:f>
        <x:v>1</x:v>
      </x:c>
    </x:row>
    <x:row r="169">
      <x:c r="A169" t="n">
        <x:f>'02b n^-1'!A169</x:f>
        <x:v>9</x:v>
      </x:c>
      <x:c r="B169" t="n">
        <x:f>'02b n^-1'!B169</x:f>
        <x:v>4</x:v>
      </x:c>
      <x:c r="C169" s="12" t="n">
        <x:f>SUM('02b n^-1'!C169:H169)/6</x:f>
        <x:v>0.6666666666666666</x:v>
      </x:c>
      <x:c r="D169" t="n">
        <x:f>IF(A169=A168,--(ABS(C169-C168)&gt;0),0)</x:f>
        <x:v>1</x:v>
      </x:c>
    </x:row>
    <x:row r="170">
      <x:c r="A170" t="n">
        <x:f>'02b n^-1'!A170</x:f>
        <x:v>9</x:v>
      </x:c>
      <x:c r="B170" t="n">
        <x:f>'02b n^-1'!B170</x:f>
        <x:v>5</x:v>
      </x:c>
      <x:c r="C170" s="12" t="n">
        <x:f>SUM('02b n^-1'!C170:H170)/6</x:f>
        <x:v>0.6666666666666666</x:v>
      </x:c>
      <x:c r="D170" t="n">
        <x:f>IF(A170=A169,--(ABS(C170-C169)&gt;0),0)</x:f>
        <x:v>0</x:v>
      </x:c>
    </x:row>
    <x:row r="171">
      <x:c r="A171" t="n">
        <x:f>'02b n^-1'!A171</x:f>
        <x:v>9</x:v>
      </x:c>
      <x:c r="B171" t="n">
        <x:f>'02b n^-1'!B171</x:f>
        <x:v>6</x:v>
      </x:c>
      <x:c r="C171" s="12" t="n">
        <x:f>SUM('02b n^-1'!C171:H171)/6</x:f>
        <x:v>0.6666666666666666</x:v>
      </x:c>
      <x:c r="D171" t="n">
        <x:f>IF(A171=A170,--(ABS(C171-C170)&gt;0),0)</x:f>
        <x:v>0</x:v>
      </x:c>
    </x:row>
    <x:row r="172">
      <x:c r="A172" t="n">
        <x:f>'02b n^-1'!A172</x:f>
        <x:v>9</x:v>
      </x:c>
      <x:c r="B172" t="n">
        <x:f>'02b n^-1'!B172</x:f>
        <x:v>7</x:v>
      </x:c>
      <x:c r="C172" s="12" t="n">
        <x:f>SUM('02b n^-1'!C172:H172)/6</x:f>
        <x:v>0.6666666666666666</x:v>
      </x:c>
      <x:c r="D172" t="n">
        <x:f>IF(A172=A171,--(ABS(C172-C171)&gt;0),0)</x:f>
        <x:v>0</x:v>
      </x:c>
    </x:row>
    <x:row r="173">
      <x:c r="A173" t="n">
        <x:f>'02b n^-1'!A173</x:f>
        <x:v>9</x:v>
      </x:c>
      <x:c r="B173" t="n">
        <x:f>'02b n^-1'!B173</x:f>
        <x:v>8</x:v>
      </x:c>
      <x:c r="C173" s="12" t="n">
        <x:f>SUM('02b n^-1'!C173:H173)/6</x:f>
        <x:v>0.5</x:v>
      </x:c>
      <x:c r="D173" t="n">
        <x:f>IF(A173=A172,--(ABS(C173-C172)&gt;0),0)</x:f>
        <x:v>1</x:v>
      </x:c>
    </x:row>
    <x:row r="174">
      <x:c r="A174" t="n">
        <x:f>'02b n^-1'!A174</x:f>
        <x:v>9</x:v>
      </x:c>
      <x:c r="B174" t="n">
        <x:f>'02b n^-1'!B174</x:f>
        <x:v>9</x:v>
      </x:c>
      <x:c r="C174" s="12" t="n">
        <x:f>SUM('02b n^-1'!C174:H174)/6</x:f>
        <x:v>0.6666666666666666</x:v>
      </x:c>
      <x:c r="D174" t="n">
        <x:f>IF(A174=A173,--(ABS(C174-C173)&gt;0),0)</x:f>
        <x:v>1</x:v>
      </x:c>
    </x:row>
    <x:row r="175">
      <x:c r="A175" t="n">
        <x:f>'02b n^-1'!A175</x:f>
        <x:v>9</x:v>
      </x:c>
      <x:c r="B175" t="n">
        <x:f>'02b n^-1'!B175</x:f>
        <x:v>10</x:v>
      </x:c>
      <x:c r="C175" s="12" t="n">
        <x:f>SUM('02b n^-1'!C175:H175)/6</x:f>
        <x:v>0.6666666666666666</x:v>
      </x:c>
      <x:c r="D175" t="n">
        <x:f>IF(A175=A174,--(ABS(C175-C174)&gt;0),0)</x:f>
        <x:v>0</x:v>
      </x:c>
    </x:row>
    <x:row r="176">
      <x:c r="A176" t="n">
        <x:f>'02b n^-1'!A176</x:f>
        <x:v>9</x:v>
      </x:c>
      <x:c r="B176" t="n">
        <x:f>'02b n^-1'!B176</x:f>
        <x:v>11</x:v>
      </x:c>
      <x:c r="C176" s="12" t="n">
        <x:f>SUM('02b n^-1'!C176:H176)/6</x:f>
        <x:v>0.5</x:v>
      </x:c>
      <x:c r="D176" t="n">
        <x:f>IF(A176=A175,--(ABS(C176-C175)&gt;0),0)</x:f>
        <x:v>1</x:v>
      </x:c>
    </x:row>
    <x:row r="177">
      <x:c r="A177" t="n">
        <x:f>'02b n^-1'!A177</x:f>
        <x:v>9</x:v>
      </x:c>
      <x:c r="B177" t="n">
        <x:f>'02b n^-1'!B177</x:f>
        <x:v>12</x:v>
      </x:c>
      <x:c r="C177" s="12" t="n">
        <x:f>SUM('02b n^-1'!C177:H177)/6</x:f>
        <x:v>0.6666666666666666</x:v>
      </x:c>
      <x:c r="D177" t="n">
        <x:f>IF(A177=A176,--(ABS(C177-C176)&gt;0),0)</x:f>
        <x:v>1</x:v>
      </x:c>
    </x:row>
    <x:row r="178">
      <x:c r="A178" t="n">
        <x:f>'02b n^-1'!A178</x:f>
        <x:v>9</x:v>
      </x:c>
      <x:c r="B178" t="n">
        <x:f>'02b n^-1'!B178</x:f>
        <x:v>13</x:v>
      </x:c>
      <x:c r="C178" s="12" t="n">
        <x:f>SUM('02b n^-1'!C178:H178)/6</x:f>
        <x:v>0.8333333333333334</x:v>
      </x:c>
      <x:c r="D178" t="n">
        <x:f>IF(A178=A177,--(ABS(C178-C177)&gt;0),0)</x:f>
        <x:v>1</x:v>
      </x:c>
    </x:row>
    <x:row r="179">
      <x:c r="A179" t="n">
        <x:f>'02b n^-1'!A179</x:f>
        <x:v>9</x:v>
      </x:c>
      <x:c r="B179" t="n">
        <x:f>'02b n^-1'!B179</x:f>
        <x:v>14</x:v>
      </x:c>
      <x:c r="C179" s="12" t="n">
        <x:f>SUM('02b n^-1'!C179:H179)/6</x:f>
        <x:v>0.16666666666666666</x:v>
      </x:c>
      <x:c r="D179" t="n">
        <x:f>IF(A179=A178,--(ABS(C179-C178)&gt;0),0)</x:f>
        <x:v>1</x:v>
      </x:c>
    </x:row>
    <x:row r="180">
      <x:c r="A180" t="n">
        <x:f>'02b n^-1'!A180</x:f>
        <x:v>9</x:v>
      </x:c>
      <x:c r="B180" t="n">
        <x:f>'02b n^-1'!B180</x:f>
        <x:v>15</x:v>
      </x:c>
      <x:c r="C180" s="12" t="n">
        <x:f>SUM('02b n^-1'!C180:H180)/6</x:f>
        <x:v>0.6666666666666666</x:v>
      </x:c>
      <x:c r="D180" t="n">
        <x:f>IF(A180=A179,--(ABS(C180-C179)&gt;0),0)</x:f>
        <x:v>1</x:v>
      </x:c>
    </x:row>
    <x:row r="181">
      <x:c r="A181" t="n">
        <x:f>'02b n^-1'!A181</x:f>
        <x:v>9</x:v>
      </x:c>
      <x:c r="B181" t="n">
        <x:f>'02b n^-1'!B181</x:f>
        <x:v>16</x:v>
      </x:c>
      <x:c r="C181" s="12" t="n">
        <x:f>SUM('02b n^-1'!C181:H181)/6</x:f>
        <x:v>0.8333333333333334</x:v>
      </x:c>
      <x:c r="D181" t="n">
        <x:f>IF(A181=A180,--(ABS(C181-C180)&gt;0),0)</x:f>
        <x:v>1</x:v>
      </x:c>
    </x:row>
    <x:row r="182">
      <x:c r="A182" t="n">
        <x:f>'02b n^-1'!A182</x:f>
        <x:v>9</x:v>
      </x:c>
      <x:c r="B182" t="n">
        <x:f>'02b n^-1'!B182</x:f>
        <x:v>17</x:v>
      </x:c>
      <x:c r="C182" s="12" t="n">
        <x:f>SUM('02b n^-1'!C182:H182)/6</x:f>
        <x:v>0.5</x:v>
      </x:c>
      <x:c r="D182" t="n">
        <x:f>IF(A182=A181,--(ABS(C182-C181)&gt;0),0)</x:f>
        <x:v>1</x:v>
      </x:c>
    </x:row>
    <x:row r="183">
      <x:c r="A183" t="n">
        <x:f>'02b n^-1'!A183</x:f>
        <x:v>9</x:v>
      </x:c>
      <x:c r="B183" t="n">
        <x:f>'02b n^-1'!B183</x:f>
        <x:v>18</x:v>
      </x:c>
      <x:c r="C183" s="12" t="n">
        <x:f>SUM('02b n^-1'!C183:H183)/6</x:f>
        <x:v>0.5</x:v>
      </x:c>
      <x:c r="D183" t="n">
        <x:f>IF(A183=A182,--(ABS(C183-C182)&gt;0),0)</x:f>
        <x:v>0</x:v>
      </x:c>
    </x:row>
    <x:row r="184">
      <x:c r="A184" t="n">
        <x:f>'02b n^-1'!A184</x:f>
        <x:v>9</x:v>
      </x:c>
      <x:c r="B184" t="n">
        <x:f>'02b n^-1'!B184</x:f>
        <x:v>19</x:v>
      </x:c>
      <x:c r="C184" s="12" t="n">
        <x:f>SUM('02b n^-1'!C184:H184)/6</x:f>
        <x:v>0.6666666666666666</x:v>
      </x:c>
      <x:c r="D184" t="n">
        <x:f>IF(A184=A183,--(ABS(C184-C183)&gt;0),0)</x:f>
        <x:v>1</x:v>
      </x:c>
    </x:row>
    <x:row r="185">
      <x:c r="A185" t="n">
        <x:f>'02b n^-1'!A185</x:f>
        <x:v>9</x:v>
      </x:c>
      <x:c r="B185" t="n">
        <x:f>'02b n^-1'!B185</x:f>
        <x:v>20</x:v>
      </x:c>
      <x:c r="C185" s="12" t="n">
        <x:f>SUM('02b n^-1'!C185:H185)/6</x:f>
        <x:v>0.6666666666666666</x:v>
      </x:c>
      <x:c r="D185" t="n">
        <x:f>IF(A185=A184,--(ABS(C185-C184)&gt;0),0)</x:f>
        <x:v>0</x:v>
      </x:c>
    </x:row>
    <x:row r="186">
      <x:c r="A186" t="n">
        <x:f>'02b n^-1'!A186</x:f>
        <x:v>10</x:v>
      </x:c>
      <x:c r="B186" t="n">
        <x:f>'02b n^-1'!B186</x:f>
        <x:v>1</x:v>
      </x:c>
      <x:c r="C186" s="12" t="n">
        <x:f>SUM('02b n^-1'!C186:H186)/6</x:f>
        <x:v>0</x:v>
      </x:c>
      <x:c r="D186" t="n">
        <x:f>IF(A186=A185,--(ABS(C186-C185)&gt;0),0)</x:f>
        <x:v>0</x:v>
      </x:c>
    </x:row>
    <x:row r="187">
      <x:c r="A187" t="n">
        <x:f>'02b n^-1'!A187</x:f>
        <x:v>10</x:v>
      </x:c>
      <x:c r="B187" t="n">
        <x:f>'02b n^-1'!B187</x:f>
        <x:v>2</x:v>
      </x:c>
      <x:c r="C187" s="12" t="n">
        <x:f>SUM('02b n^-1'!C187:H187)/6</x:f>
        <x:v>1</x:v>
      </x:c>
      <x:c r="D187" t="n">
        <x:f>IF(A187=A186,--(ABS(C187-C186)&gt;0),0)</x:f>
        <x:v>1</x:v>
      </x:c>
    </x:row>
    <x:row r="188">
      <x:c r="A188" t="n">
        <x:f>'02b n^-1'!A188</x:f>
        <x:v>10</x:v>
      </x:c>
      <x:c r="B188" t="n">
        <x:f>'02b n^-1'!B188</x:f>
        <x:v>3</x:v>
      </x:c>
      <x:c r="C188" s="12" t="n">
        <x:f>SUM('02b n^-1'!C188:H188)/6</x:f>
        <x:v>1</x:v>
      </x:c>
      <x:c r="D188" t="n">
        <x:f>IF(A188=A187,--(ABS(C188-C187)&gt;0),0)</x:f>
        <x:v>0</x:v>
      </x:c>
    </x:row>
    <x:row r="189">
      <x:c r="A189" t="n">
        <x:f>'02b n^-1'!A189</x:f>
        <x:v>10</x:v>
      </x:c>
      <x:c r="B189" t="n">
        <x:f>'02b n^-1'!B189</x:f>
        <x:v>4</x:v>
      </x:c>
      <x:c r="C189" s="12" t="n">
        <x:f>SUM('02b n^-1'!C189:H189)/6</x:f>
        <x:v>1</x:v>
      </x:c>
      <x:c r="D189" t="n">
        <x:f>IF(A189=A188,--(ABS(C189-C188)&gt;0),0)</x:f>
        <x:v>0</x:v>
      </x:c>
    </x:row>
    <x:row r="190">
      <x:c r="A190" t="n">
        <x:f>'02b n^-1'!A190</x:f>
        <x:v>10</x:v>
      </x:c>
      <x:c r="B190" t="n">
        <x:f>'02b n^-1'!B190</x:f>
        <x:v>5</x:v>
      </x:c>
      <x:c r="C190" s="12" t="n">
        <x:f>SUM('02b n^-1'!C190:H190)/6</x:f>
        <x:v>0.5</x:v>
      </x:c>
      <x:c r="D190" t="n">
        <x:f>IF(A190=A189,--(ABS(C190-C189)&gt;0),0)</x:f>
        <x:v>1</x:v>
      </x:c>
    </x:row>
    <x:row r="191">
      <x:c r="A191" t="n">
        <x:f>'02b n^-1'!A191</x:f>
        <x:v>10</x:v>
      </x:c>
      <x:c r="B191" t="n">
        <x:f>'02b n^-1'!B191</x:f>
        <x:v>6</x:v>
      </x:c>
      <x:c r="C191" s="12" t="n">
        <x:f>SUM('02b n^-1'!C191:H191)/6</x:f>
        <x:v>0.5</x:v>
      </x:c>
      <x:c r="D191" t="n">
        <x:f>IF(A191=A190,--(ABS(C191-C190)&gt;0),0)</x:f>
        <x:v>0</x:v>
      </x:c>
    </x:row>
    <x:row r="192">
      <x:c r="A192" t="n">
        <x:f>'02b n^-1'!A192</x:f>
        <x:v>10</x:v>
      </x:c>
      <x:c r="B192" t="n">
        <x:f>'02b n^-1'!B192</x:f>
        <x:v>7</x:v>
      </x:c>
      <x:c r="C192" s="12" t="n">
        <x:f>SUM('02b n^-1'!C192:H192)/6</x:f>
        <x:v>1</x:v>
      </x:c>
      <x:c r="D192" t="n">
        <x:f>IF(A192=A191,--(ABS(C192-C191)&gt;0),0)</x:f>
        <x:v>1</x:v>
      </x:c>
    </x:row>
    <x:row r="193">
      <x:c r="A193" t="n">
        <x:f>'02b n^-1'!A193</x:f>
        <x:v>10</x:v>
      </x:c>
      <x:c r="B193" t="n">
        <x:f>'02b n^-1'!B193</x:f>
        <x:v>8</x:v>
      </x:c>
      <x:c r="C193" s="12" t="n">
        <x:f>SUM('02b n^-1'!C193:H193)/6</x:f>
        <x:v>1</x:v>
      </x:c>
      <x:c r="D193" t="n">
        <x:f>IF(A193=A192,--(ABS(C193-C192)&gt;0),0)</x:f>
        <x:v>0</x:v>
      </x:c>
    </x:row>
    <x:row r="194">
      <x:c r="A194" t="n">
        <x:f>'02b n^-1'!A194</x:f>
        <x:v>10</x:v>
      </x:c>
      <x:c r="B194" t="n">
        <x:f>'02b n^-1'!B194</x:f>
        <x:v>9</x:v>
      </x:c>
      <x:c r="C194" s="12" t="n">
        <x:f>SUM('02b n^-1'!C194:H194)/6</x:f>
        <x:v>1</x:v>
      </x:c>
      <x:c r="D194" t="n">
        <x:f>IF(A194=A193,--(ABS(C194-C193)&gt;0),0)</x:f>
        <x:v>0</x:v>
      </x:c>
    </x:row>
    <x:row r="195">
      <x:c r="A195" t="n">
        <x:f>'02b n^-1'!A195</x:f>
        <x:v>10</x:v>
      </x:c>
      <x:c r="B195" t="n">
        <x:f>'02b n^-1'!B195</x:f>
        <x:v>10</x:v>
      </x:c>
      <x:c r="C195" s="12" t="n">
        <x:f>SUM('02b n^-1'!C195:H195)/6</x:f>
        <x:v>0.6666666666666666</x:v>
      </x:c>
      <x:c r="D195" t="n">
        <x:f>IF(A195=A194,--(ABS(C195-C194)&gt;0),0)</x:f>
        <x:v>1</x:v>
      </x:c>
    </x:row>
    <x:row r="196">
      <x:c r="A196" t="n">
        <x:f>'02b n^-1'!A196</x:f>
        <x:v>10</x:v>
      </x:c>
      <x:c r="B196" t="n">
        <x:f>'02b n^-1'!B196</x:f>
        <x:v>11</x:v>
      </x:c>
      <x:c r="C196" s="12" t="n">
        <x:f>SUM('02b n^-1'!C196:H196)/6</x:f>
        <x:v>0.6666666666666666</x:v>
      </x:c>
      <x:c r="D196" t="n">
        <x:f>IF(A196=A195,--(ABS(C196-C195)&gt;0),0)</x:f>
        <x:v>0</x:v>
      </x:c>
    </x:row>
    <x:row r="197">
      <x:c r="A197" t="n">
        <x:f>'02b n^-1'!A197</x:f>
        <x:v>10</x:v>
      </x:c>
      <x:c r="B197" t="n">
        <x:f>'02b n^-1'!B197</x:f>
        <x:v>12</x:v>
      </x:c>
      <x:c r="C197" s="12" t="n">
        <x:f>SUM('02b n^-1'!C197:H197)/6</x:f>
        <x:v>1</x:v>
      </x:c>
      <x:c r="D197" t="n">
        <x:f>IF(A197=A196,--(ABS(C197-C196)&gt;0),0)</x:f>
        <x:v>1</x:v>
      </x:c>
    </x:row>
    <x:row r="198">
      <x:c r="A198" t="n">
        <x:f>'02b n^-1'!A198</x:f>
        <x:v>10</x:v>
      </x:c>
      <x:c r="B198" t="n">
        <x:f>'02b n^-1'!B198</x:f>
        <x:v>13</x:v>
      </x:c>
      <x:c r="C198" s="12" t="n">
        <x:f>SUM('02b n^-1'!C198:H198)/6</x:f>
        <x:v>1</x:v>
      </x:c>
      <x:c r="D198" t="n">
        <x:f>IF(A198=A197,--(ABS(C198-C197)&gt;0),0)</x:f>
        <x:v>0</x:v>
      </x:c>
    </x:row>
    <x:row r="199">
      <x:c r="A199" t="n">
        <x:f>'02b n^-1'!A199</x:f>
        <x:v>10</x:v>
      </x:c>
      <x:c r="B199" t="n">
        <x:f>'02b n^-1'!B199</x:f>
        <x:v>14</x:v>
      </x:c>
      <x:c r="C199" s="12" t="n">
        <x:f>SUM('02b n^-1'!C199:H199)/6</x:f>
        <x:v>1</x:v>
      </x:c>
      <x:c r="D199" t="n">
        <x:f>IF(A199=A198,--(ABS(C199-C198)&gt;0),0)</x:f>
        <x:v>0</x:v>
      </x:c>
    </x:row>
    <x:row r="200">
      <x:c r="A200" t="n">
        <x:f>'02b n^-1'!A200</x:f>
        <x:v>10</x:v>
      </x:c>
      <x:c r="B200" t="n">
        <x:f>'02b n^-1'!B200</x:f>
        <x:v>15</x:v>
      </x:c>
      <x:c r="C200" s="12" t="n">
        <x:f>SUM('02b n^-1'!C200:H200)/6</x:f>
        <x:v>0.5</x:v>
      </x:c>
      <x:c r="D200" t="n">
        <x:f>IF(A200=A199,--(ABS(C200-C199)&gt;0),0)</x:f>
        <x:v>1</x:v>
      </x:c>
    </x:row>
    <x:row r="201">
      <x:c r="A201" t="n">
        <x:f>'02b n^-1'!A201</x:f>
        <x:v>10</x:v>
      </x:c>
      <x:c r="B201" t="n">
        <x:f>'02b n^-1'!B201</x:f>
        <x:v>16</x:v>
      </x:c>
      <x:c r="C201" s="12" t="n">
        <x:f>SUM('02b n^-1'!C201:H201)/6</x:f>
        <x:v>0.5</x:v>
      </x:c>
      <x:c r="D201" t="n">
        <x:f>IF(A201=A200,--(ABS(C201-C200)&gt;0),0)</x:f>
        <x:v>0</x:v>
      </x:c>
    </x:row>
    <x:row r="202">
      <x:c r="A202" t="n">
        <x:f>'02b n^-1'!A202</x:f>
        <x:v>10</x:v>
      </x:c>
      <x:c r="B202" t="n">
        <x:f>'02b n^-1'!B202</x:f>
        <x:v>17</x:v>
      </x:c>
      <x:c r="C202" s="12" t="n">
        <x:f>SUM('02b n^-1'!C202:H202)/6</x:f>
        <x:v>1</x:v>
      </x:c>
      <x:c r="D202" t="n">
        <x:f>IF(A202=A201,--(ABS(C202-C201)&gt;0),0)</x:f>
        <x:v>1</x:v>
      </x:c>
    </x:row>
    <x:row r="203">
      <x:c r="A203" t="n">
        <x:f>'02b n^-1'!A203</x:f>
        <x:v>10</x:v>
      </x:c>
      <x:c r="B203" t="n">
        <x:f>'02b n^-1'!B203</x:f>
        <x:v>18</x:v>
      </x:c>
      <x:c r="C203" s="12" t="n">
        <x:f>SUM('02b n^-1'!C203:H203)/6</x:f>
        <x:v>1</x:v>
      </x:c>
      <x:c r="D203" t="n">
        <x:f>IF(A203=A202,--(ABS(C203-C202)&gt;0),0)</x:f>
        <x:v>0</x:v>
      </x:c>
    </x:row>
    <x:row r="204">
      <x:c r="A204" t="n">
        <x:f>'02b n^-1'!A204</x:f>
        <x:v>10</x:v>
      </x:c>
      <x:c r="B204" t="n">
        <x:f>'02b n^-1'!B204</x:f>
        <x:v>19</x:v>
      </x:c>
      <x:c r="C204" s="12" t="n">
        <x:f>SUM('02b n^-1'!C204:H204)/6</x:f>
        <x:v>1</x:v>
      </x:c>
      <x:c r="D204" t="n">
        <x:f>IF(A204=A203,--(ABS(C204-C203)&gt;0),0)</x:f>
        <x:v>0</x:v>
      </x:c>
    </x:row>
    <x:row r="205">
      <x:c r="A205" t="n">
        <x:f>'02b n^-1'!A205</x:f>
        <x:v>10</x:v>
      </x:c>
      <x:c r="B205" t="n">
        <x:f>'02b n^-1'!B205</x:f>
        <x:v>20</x:v>
      </x:c>
      <x:c r="C205" s="12" t="n">
        <x:f>SUM('02b n^-1'!C205:H205)/6</x:f>
        <x:v>0.6666666666666666</x:v>
      </x:c>
      <x:c r="D205" t="n">
        <x:f>IF(A205=A204,--(ABS(C205-C204)&gt;0),0)</x:f>
        <x:v>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7.559999942779541" hidden="0" customWidth="1"/>
    <x:col min="3" max="3" width="7.559999942779541" hidden="0" customWidth="1"/>
    <x:col min="4" max="4" width="7.559999942779541" hidden="0" customWidth="1"/>
    <x:col min="5" max="5" width="7.559999942779541" hidden="0" customWidth="1"/>
  </x:cols>
  <x:sheetData>
    <x:row r="1" ht="19.5" customHeight="1">
      <x:c r="A1" s="4" t="str">
        <x:v>03 Mind Knobs</x:v>
      </x:c>
      <x:c r="B1" s="4" t="str">
        <x:v>03 Mind Knobs</x:v>
      </x:c>
      <x:c r="C1" s="4" t="str">
        <x:v>03 Mind Knobs</x:v>
      </x:c>
      <x:c r="D1" s="4" t="str">
        <x:v>03 Mind Knobs</x:v>
      </x:c>
      <x:c r="E1" s="4" t="str">
        <x:v>03 Mind Knobs</x:v>
      </x:c>
    </x:row>
    <x:row r="2" ht="18" customHeight="1">
      <x:c r="A2" s="6" t="str">
        <x:v>Editable control surface. v drives formulas. p shows the selected curious-mode defaults.</x:v>
      </x:c>
      <x:c r="B2" s="6" t="str">
        <x:v>Editable control surface. v drives formulas. p shows the selected curious-mode defaults.</x:v>
      </x:c>
      <x:c r="C2" s="6" t="str">
        <x:v>Editable control surface. v drives formulas. p shows the selected curious-mode defaults.</x:v>
      </x:c>
      <x:c r="D2" s="6" t="str">
        <x:v>Editable control surface. v drives formulas. p shows the selected curious-mode defaults.</x:v>
      </x:c>
      <x:c r="E2" s="6" t="str">
        <x:v>Editable control surface. v drives formulas. p shows the selected curious-mode defaults.</x:v>
      </x:c>
    </x:row>
    <x:row r="5">
      <x:c r="A5" s="9" t="str">
        <x:v>k</x:v>
      </x:c>
      <x:c r="B5" s="10" t="str">
        <x:v>v</x:v>
      </x:c>
      <x:c r="C5" s="10" t="str">
        <x:v>p</x:v>
      </x:c>
      <x:c r="D5" s="10" t="str">
        <x:v>lo</x:v>
      </x:c>
      <x:c r="E5" s="11" t="str">
        <x:v>hi</x:v>
      </x:c>
    </x:row>
    <x:row r="6">
      <x:c r="A6" t="str">
        <x:v>mode</x:v>
      </x:c>
      <x:c r="B6" t="n">
        <x:v>2</x:v>
      </x:c>
      <x:c r="C6" t="str"/>
      <x:c r="D6" t="n">
        <x:v>1</x:v>
      </x:c>
      <x:c r="E6" t="n">
        <x:v>6</x:v>
      </x:c>
    </x:row>
    <x:row r="7">
      <x:c r="A7" t="str">
        <x:v>nov</x:v>
      </x:c>
      <x:c r="B7" s="12" t="n">
        <x:v>0.7</x:v>
      </x:c>
      <x:c r="C7" s="12" t="n">
        <x:f>INDEX('07 Mode Presets'!$C$6:$C$11,$B$6)</x:f>
        <x:v>0.7</x:v>
      </x:c>
      <x:c r="D7" t="n">
        <x:v>0</x:v>
      </x:c>
      <x:c r="E7" t="n">
        <x:v>1</x:v>
      </x:c>
    </x:row>
    <x:row r="8">
      <x:c r="A8" t="str">
        <x:v>em_sens</x:v>
      </x:c>
      <x:c r="B8" s="12" t="n">
        <x:v>0.5</x:v>
      </x:c>
      <x:c r="C8" s="12" t="n">
        <x:f>INDEX('07 Mode Presets'!$D$6:$D$11,$B$6)</x:f>
        <x:v>0.5</x:v>
      </x:c>
      <x:c r="D8" t="n">
        <x:v>0</x:v>
      </x:c>
      <x:c r="E8" t="n">
        <x:v>1</x:v>
      </x:c>
    </x:row>
    <x:row r="9">
      <x:c r="A9" t="str">
        <x:v>att_win</x:v>
      </x:c>
      <x:c r="B9" s="12" t="n">
        <x:v>10</x:v>
      </x:c>
      <x:c r="C9" s="12" t="n">
        <x:f>INDEX('07 Mode Presets'!$E$6:$E$11,$B$6)</x:f>
        <x:v>10</x:v>
      </x:c>
      <x:c r="D9" t="n">
        <x:v>1</x:v>
      </x:c>
      <x:c r="E9" t="n">
        <x:v>20</x:v>
      </x:c>
    </x:row>
    <x:row r="10">
      <x:c r="A10" t="str">
        <x:v>res_disc</x:v>
      </x:c>
      <x:c r="B10" s="12" t="n">
        <x:v>0.4</x:v>
      </x:c>
      <x:c r="C10" s="12" t="n">
        <x:f>INDEX('07 Mode Presets'!$F$6:$F$11,$B$6)</x:f>
        <x:v>0.4</x:v>
      </x:c>
      <x:c r="D10" t="n">
        <x:v>0</x:v>
      </x:c>
      <x:c r="E10" t="n">
        <x:v>1</x:v>
      </x:c>
    </x:row>
    <x:row r="11">
      <x:c r="A11" t="str">
        <x:v>cur_bud</x:v>
      </x:c>
      <x:c r="B11" s="12" t="n">
        <x:v>0.7</x:v>
      </x:c>
      <x:c r="C11" s="12" t="n">
        <x:f>INDEX('07 Mode Presets'!$G$6:$G$11,$B$6)</x:f>
        <x:v>0.7</x:v>
      </x:c>
      <x:c r="D11" t="n">
        <x:v>0</x:v>
      </x:c>
      <x:c r="E11" t="n">
        <x:v>1</x:v>
      </x:c>
    </x:row>
    <x:row r="12">
      <x:c r="A12" t="str">
        <x:v>inner_build</x:v>
      </x:c>
      <x:c r="B12" s="12" t="n">
        <x:v>0.5</x:v>
      </x:c>
      <x:c r="C12" s="12" t="n">
        <x:f>INDEX('07 Mode Presets'!$H$6:$H$11,$B$6)</x:f>
        <x:v>0.5</x:v>
      </x:c>
      <x:c r="D12" t="n">
        <x:v>0</x:v>
      </x:c>
      <x:c r="E12" t="n">
        <x:v>1</x:v>
      </x:c>
    </x:row>
    <x:row r="13">
      <x:c r="A13" t="str">
        <x:v>curiosity</x:v>
      </x:c>
      <x:c r="B13" s="12" t="n">
        <x:v>0.3</x:v>
      </x:c>
      <x:c r="C13" s="12" t="n">
        <x:f>INDEX('07 Mode Presets'!$I$6:$I$11,$B$6)</x:f>
        <x:v>0.3</x:v>
      </x:c>
      <x:c r="D13" t="n">
        <x:v>0</x:v>
      </x:c>
      <x:c r="E13" t="n">
        <x:v>1</x:v>
      </x:c>
    </x:row>
    <x:row r="14">
      <x:c r="A14" t="str">
        <x:v>unassigned</x:v>
      </x:c>
      <x:c r="B14" s="12" t="n">
        <x:f>MAX(0,1-B12-B13)</x:f>
        <x:v>0.2</x:v>
      </x:c>
      <x:c r="C14" s="12" t="n">
        <x:f>MAX(0,1-C12-C13)</x:f>
        <x:v>0.2</x:v>
      </x:c>
      <x:c r="D14" t="n">
        <x:v>0</x:v>
      </x:c>
      <x:c r="E14" t="n">
        <x:v>1</x:v>
      </x:c>
    </x:row>
    <x:row r="15">
      <x:c r="A15" t="str">
        <x:v>out_attn</x:v>
      </x:c>
      <x:c r="B15" s="12" t="n">
        <x:f>B14</x:f>
        <x:v>0.2</x:v>
      </x:c>
      <x:c r="C15" s="12" t="n">
        <x:f>C14</x:f>
        <x:v>0.2</x:v>
      </x:c>
      <x:c r="D15" t="n">
        <x:v>0</x:v>
      </x:c>
      <x:c r="E15" t="n">
        <x:v>1</x:v>
      </x:c>
    </x:row>
    <x:row r="16">
      <x:c r="A16" t="str">
        <x:v>em_win</x:v>
      </x:c>
      <x:c r="B16" s="12" t="n">
        <x:v>10</x:v>
      </x:c>
      <x:c r="C16" s="12" t="n">
        <x:f>INDEX('07 Mode Presets'!$J$6:$J$11,$B$6)</x:f>
        <x:v>10</x:v>
      </x:c>
      <x:c r="D16" t="n">
        <x:v>1</x:v>
      </x:c>
      <x:c r="E16" t="n">
        <x:v>20</x:v>
      </x:c>
    </x:row>
    <x:row r="17">
      <x:c r="A17" t="str">
        <x:v>x_w</x:v>
      </x:c>
      <x:c r="B17" s="12" t="n">
        <x:v>0.5</x:v>
      </x:c>
      <x:c r="C17" s="12" t="n">
        <x:f>INDEX('07 Mode Presets'!$K$6:$K$11,$B$6)</x:f>
        <x:v>0.5</x:v>
      </x:c>
      <x:c r="D17" t="n">
        <x:v>0</x:v>
      </x:c>
      <x:c r="E17" t="n">
        <x:v>1</x:v>
      </x:c>
    </x:row>
    <x:row r="18">
      <x:c r="A18" t="str">
        <x:v>a_w</x:v>
      </x:c>
      <x:c r="B18" s="12" t="n">
        <x:v>0.7</x:v>
      </x:c>
      <x:c r="C18" s="12" t="n">
        <x:f>INDEX('07 Mode Presets'!$L$6:$L$11,$B$6)</x:f>
        <x:v>0.7</x:v>
      </x:c>
      <x:c r="D18" t="n">
        <x:v>0</x:v>
      </x:c>
      <x:c r="E18" t="n">
        <x:v>1</x:v>
      </x:c>
    </x:row>
    <x:row r="19">
      <x:c r="A19" t="str">
        <x:v>prom_base</x:v>
      </x:c>
      <x:c r="B19" s="12" t="n">
        <x:v>0.55</x:v>
      </x:c>
      <x:c r="C19" s="12" t="n">
        <x:f>INDEX('07 Mode Presets'!$M$6:$M$11,$B$6)</x:f>
        <x:v>0.55</x:v>
      </x:c>
      <x:c r="D19" t="n">
        <x:v>0</x:v>
      </x:c>
      <x:c r="E19" t="n">
        <x:v>1</x:v>
      </x:c>
    </x:row>
    <x:row r="20">
      <x:c r="A20" t="str">
        <x:v>eff_drive</x:v>
      </x:c>
      <x:c r="B20" s="12" t="n">
        <x:v>0.85</x:v>
      </x:c>
      <x:c r="C20" s="12" t="n">
        <x:f>INDEX('07 Mode Presets'!$N$6:$N$11,$B$6)</x:f>
        <x:v>0.85</x:v>
      </x:c>
      <x:c r="D20" t="n">
        <x:v>0</x:v>
      </x:c>
      <x:c r="E20" t="n">
        <x:v>1</x:v>
      </x:c>
    </x:row>
    <x:row r="21">
      <x:c r="A21" t="str">
        <x:v>habit_rep</x:v>
      </x:c>
      <x:c r="B21" s="12" t="n">
        <x:v>3</x:v>
      </x:c>
      <x:c r="C21" s="12" t="n">
        <x:f>INDEX('07 Mode Presets'!$O$6:$O$11,$B$6)</x:f>
        <x:v>3</x:v>
      </x:c>
      <x:c r="D21" t="n">
        <x:v>1</x:v>
      </x:c>
      <x:c r="E21" t="n">
        <x:v>10</x:v>
      </x:c>
    </x:row>
    <x:row r="22">
      <x:c r="A22" t="str">
        <x:v>habit_conf</x:v>
      </x:c>
      <x:c r="B22" s="12" t="n">
        <x:v>0.8</x:v>
      </x:c>
      <x:c r="C22" s="12" t="n">
        <x:f>INDEX('07 Mode Presets'!$P$6:$P$11,$B$6)</x:f>
        <x:v>0.8</x:v>
      </x:c>
      <x:c r="D22" t="n">
        <x:v>0</x:v>
      </x:c>
      <x:c r="E22" t="n">
        <x:v>1</x:v>
      </x:c>
    </x:row>
    <x:row r="23">
      <x:c r="A23" t="str">
        <x:v>fail_tol</x:v>
      </x:c>
      <x:c r="B23" s="12" t="n">
        <x:v>0.2</x:v>
      </x:c>
      <x:c r="C23" s="12" t="n">
        <x:f>INDEX('07 Mode Presets'!$Q$6:$Q$11,$B$6)</x:f>
        <x:v>0.2</x:v>
      </x:c>
      <x:c r="D23" t="n">
        <x:v>0</x:v>
      </x:c>
      <x:c r="E23" t="n">
        <x:v>1</x:v>
      </x:c>
    </x:row>
    <x:row r="24">
      <x:c r="A24" t="str">
        <x:v>partial_ok</x:v>
      </x:c>
      <x:c r="B24" s="12" t="n">
        <x:v>1</x:v>
      </x:c>
      <x:c r="C24" s="12" t="n">
        <x:f>INDEX('07 Mode Presets'!$R$6:$R$11,$B$6)</x:f>
        <x:v>1</x:v>
      </x:c>
      <x:c r="D24" t="n">
        <x:v>0</x:v>
      </x:c>
      <x:c r="E24" t="n">
        <x:v>1</x:v>
      </x:c>
    </x:row>
    <x:row r="25">
      <x:c r="A25" t="str">
        <x:v>audit_compact</x:v>
      </x:c>
      <x:c r="B25" s="12" t="n">
        <x:v>1</x:v>
      </x:c>
      <x:c r="C25" s="12" t="n">
        <x:f>INDEX('07 Mode Presets'!$S$6:$S$11,$B$6)</x:f>
        <x:v>1</x:v>
      </x:c>
      <x:c r="D25" t="n">
        <x:v>0</x:v>
      </x:c>
      <x:c r="E25" t="n">
        <x:v>1</x:v>
      </x:c>
    </x:row>
    <x:row r="26">
      <x:c r="A26" t="str">
        <x:v>mismatch_imp</x:v>
      </x:c>
      <x:c r="B26" s="12" t="n">
        <x:v>0.6</x:v>
      </x:c>
      <x:c r="C26" s="12" t="n">
        <x:f>INDEX('07 Mode Presets'!$T$6:$T$11,$B$6)</x:f>
        <x:v>0.6</x:v>
      </x:c>
      <x:c r="D26" t="n">
        <x:v>0</x:v>
      </x:c>
      <x:c r="E26" t="n">
        <x:v>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6.440000057220459" hidden="0" customWidth="1"/>
    <x:col min="3" max="3" width="6.440000057220459" hidden="0" customWidth="1"/>
    <x:col min="4" max="4" width="6.440000057220459" hidden="0" customWidth="1"/>
    <x:col min="5" max="5" width="6.440000057220459" hidden="0" customWidth="1"/>
    <x:col min="6" max="6" width="6.440000057220459" hidden="0" customWidth="1"/>
  </x:cols>
  <x:sheetData>
    <x:row r="1" ht="19.5" customHeight="1">
      <x:c r="A1" s="4" t="str">
        <x:v>04 Resource Body</x:v>
      </x:c>
      <x:c r="B1" s="4" t="str">
        <x:v>04 Resource Body</x:v>
      </x:c>
      <x:c r="C1" s="4" t="str">
        <x:v>04 Resource Body</x:v>
      </x:c>
      <x:c r="D1" s="4" t="str">
        <x:v>04 Resource Body</x:v>
      </x:c>
      <x:c r="E1" s="4" t="str">
        <x:v>04 Resource Body</x:v>
      </x:c>
      <x:c r="F1" s="4" t="str">
        <x:v>04 Resource Body</x:v>
      </x:c>
    </x:row>
    <x:row r="2" ht="18" customHeight="1">
      <x:c r="A2" s="6" t="str">
        <x:v>Physical constraint meters. 0.80 is the first discipline marker.</x:v>
      </x:c>
      <x:c r="B2" s="6" t="str">
        <x:v>Physical constraint meters. 0.80 is the first discipline marker.</x:v>
      </x:c>
      <x:c r="C2" s="6" t="str">
        <x:v>Physical constraint meters. 0.80 is the first discipline marker.</x:v>
      </x:c>
      <x:c r="D2" s="6" t="str">
        <x:v>Physical constraint meters. 0.80 is the first discipline marker.</x:v>
      </x:c>
      <x:c r="E2" s="6" t="str">
        <x:v>Physical constraint meters. 0.80 is the first discipline marker.</x:v>
      </x:c>
      <x:c r="F2" s="6" t="str">
        <x:v>Physical constraint meters. 0.80 is the first discipline marker.</x:v>
      </x:c>
    </x:row>
    <x:row r="5">
      <x:c r="A5" s="9" t="str">
        <x:v>m</x:v>
      </x:c>
      <x:c r="B5" s="10" t="str">
        <x:v>use</x:v>
      </x:c>
      <x:c r="C5" s="10" t="str">
        <x:v>lim</x:v>
      </x:c>
      <x:c r="D5" s="10" t="str">
        <x:v>ok</x:v>
      </x:c>
      <x:c r="E5" s="10" t="str">
        <x:v>over</x:v>
      </x:c>
      <x:c r="F5" s="11" t="str">
        <x:v>disc</x:v>
      </x:c>
    </x:row>
    <x:row r="6">
      <x:c r="A6" t="str">
        <x:v>stor</x:v>
      </x:c>
      <x:c r="B6" s="12" t="n">
        <x:v>0.62</x:v>
      </x:c>
      <x:c r="C6" s="12" t="n">
        <x:v>0.8</x:v>
      </x:c>
      <x:c r="D6" s="12" t="n">
        <x:f>--(B6&lt;=C6)</x:f>
        <x:v>1</x:v>
      </x:c>
      <x:c r="E6" s="12" t="n">
        <x:f>MAX(0,(B6-C6)/(1-C6))</x:f>
        <x:v>0</x:v>
      </x:c>
      <x:c r="F6" s="12" t="n">
        <x:f>E6*'03 Mind Knobs'!$B$10</x:f>
        <x:v>0</x:v>
      </x:c>
    </x:row>
    <x:row r="7">
      <x:c r="A7" t="str">
        <x:v>ram</x:v>
      </x:c>
      <x:c r="B7" s="12" t="n">
        <x:v>0.48</x:v>
      </x:c>
      <x:c r="C7" s="12" t="n">
        <x:v>0.8</x:v>
      </x:c>
      <x:c r="D7" s="12" t="n">
        <x:f>--(B7&lt;=C7)</x:f>
        <x:v>1</x:v>
      </x:c>
      <x:c r="E7" s="12" t="n">
        <x:f>MAX(0,(B7-C7)/(1-C7))</x:f>
        <x:v>0</x:v>
      </x:c>
      <x:c r="F7" s="12" t="n">
        <x:f>E7*'03 Mind Knobs'!$B$10</x:f>
        <x:v>0</x:v>
      </x:c>
    </x:row>
    <x:row r="8">
      <x:c r="A8" t="str">
        <x:v>heat</x:v>
      </x:c>
      <x:c r="B8" s="12" t="n">
        <x:v>0.35</x:v>
      </x:c>
      <x:c r="C8" s="12" t="n">
        <x:v>0.8</x:v>
      </x:c>
      <x:c r="D8" s="12" t="n">
        <x:f>--(B8&lt;=C8)</x:f>
        <x:v>1</x:v>
      </x:c>
      <x:c r="E8" s="12" t="n">
        <x:f>MAX(0,(B8-C8)/(1-C8))</x:f>
        <x:v>0</x:v>
      </x:c>
      <x:c r="F8" s="12" t="n">
        <x:f>E8*'03 Mind Knobs'!$B$10</x:f>
        <x:v>0</x:v>
      </x:c>
    </x:row>
    <x:row r="9">
      <x:c r="B9" s="12"/>
      <x:c r="C9" s="12"/>
      <x:c r="D9" s="12"/>
      <x:c r="E9" s="12"/>
      <x:c r="F9" s="12"/>
    </x:row>
    <x:row r="10">
      <x:c r="A10" t="str">
        <x:v>press</x:v>
      </x:c>
      <x:c r="B10" s="12" t="n">
        <x:f>MAX(E6:E8)</x:f>
        <x:v>0</x:v>
      </x:c>
      <x:c r="C10" s="12"/>
      <x:c r="D10" s="13" t="str">
        <x:v>homeo</x:v>
      </x:c>
      <x:c r="E10" s="14" t="str">
        <x:v>danger</x:v>
      </x:c>
      <x:c r="F10" s="15" t="str">
        <x:v>eff</x:v>
      </x:c>
    </x:row>
    <x:row r="11">
      <x:c r="A11" t="str">
        <x:v>cur_eff</x:v>
      </x:c>
      <x:c r="B11" s="12" t="n">
        <x:f>MAX(0,'03 Mind Knobs'!$B$13*(1-B10*'03 Mind Knobs'!$B$10))</x:f>
        <x:v>0.3</x:v>
      </x:c>
      <x:c r="C11" s="12"/>
      <x:c r="D11" s="12" t="n">
        <x:f>MAX(0,1-B10)</x:f>
        <x:v>1</x:v>
      </x:c>
      <x:c r="E11" s="12" t="n">
        <x:f>--(MAX(B6:B8)&gt;=C6)</x:f>
        <x:v>0</x:v>
      </x:c>
      <x:c r="F11" s="12" t="n">
        <x:f>MIN(1,'03 Mind Knobs'!$B$20+(B10*0.15))</x:f>
        <x:v>0.85</x:v>
      </x:c>
    </x:row>
    <x:row r="12">
      <x:c r="B12" s="12"/>
      <x:c r="C12" s="12"/>
      <x:c r="D12" s="12"/>
      <x:c r="E12" s="12"/>
      <x:c r="F12" s="12"/>
    </x:row>
    <x:row r="13">
      <x:c r="A13" s="9" t="str">
        <x:v>sense</x:v>
      </x:c>
      <x:c r="B13" s="14" t="str">
        <x:v>gb</x:v>
      </x:c>
      <x:c r="C13" s="14" t="str">
        <x:v>demand</x:v>
      </x:c>
      <x:c r="D13" s="15" t="str">
        <x:v>fill</x:v>
      </x:c>
      <x:c r="E13" s="12"/>
      <x:c r="F13" s="12"/>
    </x:row>
    <x:row r="14">
      <x:c r="A14" t="str">
        <x:v>b</x:v>
      </x:c>
      <x:c r="B14" s="12" t="n">
        <x:f>20+((C14-AVERAGE($C$14:$C$18))*20)</x:f>
        <x:v>20</x:v>
      </x:c>
      <x:c r="C14" s="12" t="n">
        <x:f>MIN(1,(SUM('00 Compact View'!$H$6:$H$205)+SUM('00 Compact View'!$M$6:$M$205))/40)</x:f>
        <x:v>1</x:v>
      </x:c>
      <x:c r="D14" s="12" t="n">
        <x:f>MIN(1,C14*B14/20)</x:f>
        <x:v>1</x:v>
      </x:c>
      <x:c r="E14" s="12"/>
      <x:c r="F14" s="12"/>
    </x:row>
    <x:row r="15">
      <x:c r="A15" t="str">
        <x:v>v</x:v>
      </x:c>
      <x:c r="B15" s="12" t="n">
        <x:f>20+((C15-AVERAGE($C$14:$C$18))*20)</x:f>
        <x:v>20</x:v>
      </x:c>
      <x:c r="C15" s="12" t="n">
        <x:f>MIN(1,(SUM('00 Compact View'!$I$6:$I$205)+SUM('00 Compact View'!$N$6:$N$205))/40)</x:f>
        <x:v>1</x:v>
      </x:c>
      <x:c r="D15" s="12" t="n">
        <x:f>MIN(1,C15*B15/20)</x:f>
        <x:v>1</x:v>
      </x:c>
      <x:c r="E15" s="12"/>
      <x:c r="F15" s="12"/>
    </x:row>
    <x:row r="16">
      <x:c r="A16" t="str">
        <x:v>to</x:v>
      </x:c>
      <x:c r="B16" s="12" t="n">
        <x:f>20+((C16-AVERAGE($C$14:$C$18))*20)</x:f>
        <x:v>20</x:v>
      </x:c>
      <x:c r="C16" s="12" t="n">
        <x:f>MIN(1,(SUM('00 Compact View'!$J$6:$J$205)+SUM('00 Compact View'!$O$6:$O$205))/40)</x:f>
        <x:v>1</x:v>
      </x:c>
      <x:c r="D16" s="12" t="n">
        <x:f>MIN(1,C16*B16/20)</x:f>
        <x:v>1</x:v>
      </x:c>
      <x:c r="E16" s="12"/>
      <x:c r="F16" s="12"/>
    </x:row>
    <x:row r="17">
      <x:c r="A17" t="str">
        <x:v>ta</x:v>
      </x:c>
      <x:c r="B17" s="12" t="n">
        <x:f>20+((C17-AVERAGE($C$14:$C$18))*20)</x:f>
        <x:v>20</x:v>
      </x:c>
      <x:c r="C17" s="12" t="n">
        <x:f>MIN(1,(SUM('00 Compact View'!$K$6:$K$205)+SUM('00 Compact View'!$P$6:$P$205))/40)</x:f>
        <x:v>1</x:v>
      </x:c>
      <x:c r="D17" s="12" t="n">
        <x:f>MIN(1,C17*B17/20)</x:f>
        <x:v>1</x:v>
      </x:c>
      <x:c r="E17" s="12"/>
      <x:c r="F17" s="12"/>
    </x:row>
    <x:row r="18">
      <x:c r="A18" t="str">
        <x:v>s</x:v>
      </x:c>
      <x:c r="B18" s="12" t="n">
        <x:f>20+((C18-AVERAGE($C$14:$C$18))*20)</x:f>
        <x:v>20</x:v>
      </x:c>
      <x:c r="C18" s="12" t="n">
        <x:f>MIN(1,(SUM('00 Compact View'!$L$6:$L$205)+SUM('00 Compact View'!$Q$6:$Q$205))/40)</x:f>
        <x:v>1</x:v>
      </x:c>
      <x:c r="D18" s="12" t="n">
        <x:f>MIN(1,C18*B18/20)</x:f>
        <x:v>1</x:v>
      </x:c>
      <x:c r="E18" s="12"/>
      <x:c r="F18" s="12"/>
    </x:row>
    <x:row r="19">
      <x:c r="B19" s="12"/>
      <x:c r="C19" s="12"/>
      <x:c r="D19" s="12"/>
      <x:c r="E19" s="12"/>
      <x:c r="F19" s="12"/>
    </x:row>
    <x:row r="20">
      <x:c r="A20" t="str">
        <x:v>gb_total</x:v>
      </x:c>
      <x:c r="B20" s="12" t="n">
        <x:f>SUM(B14:B18)</x:f>
        <x:v>100</x:v>
      </x:c>
      <x:c r="C20" s="12"/>
      <x:c r="D20" s="13" t="str">
        <x:v>avoid</x:v>
      </x:c>
      <x:c r="E20" s="14" t="str">
        <x:v>comp</x:v>
      </x:c>
      <x:c r="F20" s="15" t="str">
        <x:v>inner</x:v>
      </x:c>
    </x:row>
    <x:row r="21">
      <x:c r="B21" s="12"/>
      <x:c r="C21" s="12"/>
      <x:c r="D21" s="12" t="n">
        <x:f>MIN(1,F11*0.65+(1-D11)*0.35)</x:f>
        <x:v>0.5525</x:v>
      </x:c>
      <x:c r="E21" s="12" t="n">
        <x:f>MIN(1,B10*0.55+F11*0.45)</x:f>
        <x:v>0.3825</x:v>
      </x:c>
      <x:c r="F21" s="12" t="n">
        <x:f>MAX(0,'03 Mind Knobs'!$B$12-(B10*0.25)-(E11*0.30))</x:f>
        <x:v>0.5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670000076293945" hidden="0" customWidth="1"/>
    <x:col min="2" max="2" width="4.670000076293945" hidden="0" customWidth="1"/>
    <x:col min="3" max="3" width="4.670000076293945" hidden="0" customWidth="1"/>
    <x:col min="4" max="4" width="4.670000076293945" hidden="0" customWidth="1"/>
    <x:col min="5" max="5" width="4.670000076293945" hidden="0" customWidth="1"/>
    <x:col min="6" max="6" width="4.670000076293945" hidden="0" customWidth="1"/>
    <x:col min="7" max="7" width="4.670000076293945" hidden="0" customWidth="1"/>
    <x:col min="8" max="8" width="4.670000076293945" hidden="0" customWidth="1"/>
    <x:col min="9" max="9" width="4.670000076293945" hidden="0" customWidth="1"/>
    <x:col min="10" max="10" width="4.670000076293945" hidden="0" customWidth="1"/>
    <x:col min="11" max="11" width="4.670000076293945" hidden="0" customWidth="1"/>
    <x:col min="12" max="12" width="4.670000076293945" hidden="0" customWidth="1"/>
    <x:col min="13" max="13" width="4.670000076293945" hidden="0" customWidth="1"/>
  </x:cols>
  <x:sheetData>
    <x:row r="1" ht="19.5" customHeight="1">
      <x:c r="A1" s="4" t="str">
        <x:v>05 Gate Output</x:v>
      </x:c>
      <x:c r="B1" s="4" t="str">
        <x:v>05 Gate Output</x:v>
      </x:c>
      <x:c r="C1" s="4" t="str">
        <x:v>05 Gate Output</x:v>
      </x:c>
      <x:c r="D1" s="4" t="str">
        <x:v>05 Gate Output</x:v>
      </x:c>
      <x:c r="E1" s="4" t="str">
        <x:v>05 Gate Output</x:v>
      </x:c>
      <x:c r="F1" s="4" t="str">
        <x:v>05 Gate Output</x:v>
      </x:c>
      <x:c r="G1" s="4" t="str">
        <x:v>05 Gate Output</x:v>
      </x:c>
      <x:c r="H1" s="4" t="str">
        <x:v>05 Gate Output</x:v>
      </x:c>
      <x:c r="I1" s="4" t="str">
        <x:v>05 Gate Output</x:v>
      </x:c>
      <x:c r="J1" s="4" t="str">
        <x:v>05 Gate Output</x:v>
      </x:c>
      <x:c r="K1" s="4" t="str">
        <x:v>05 Gate Output</x:v>
      </x:c>
      <x:c r="L1" s="4" t="str">
        <x:v>05 Gate Output</x:v>
      </x:c>
      <x:c r="M1" s="4" t="str">
        <x:v>05 Gate Output</x:v>
      </x:c>
    </x:row>
    <x:row r="2" ht="18" customHeight="1">
      <x:c r="A2" s="6" t="str">
        <x:v>Route outputs stay numeric: ignore, watch, promote, episode, emergency, send_upward.</x:v>
      </x:c>
      <x:c r="B2" s="6" t="str">
        <x:v>Route outputs stay numeric: ignore, watch, promote, episode, emergency, send_upward.</x:v>
      </x:c>
      <x:c r="C2" s="6" t="str">
        <x:v>Route outputs stay numeric: ignore, watch, promote, episode, emergency, send_upward.</x:v>
      </x:c>
      <x:c r="D2" s="6" t="str">
        <x:v>Route outputs stay numeric: ignore, watch, promote, episode, emergency, send_upward.</x:v>
      </x:c>
      <x:c r="E2" s="6" t="str">
        <x:v>Route outputs stay numeric: ignore, watch, promote, episode, emergency, send_upward.</x:v>
      </x:c>
      <x:c r="F2" s="6" t="str">
        <x:v>Route outputs stay numeric: ignore, watch, promote, episode, emergency, send_upward.</x:v>
      </x:c>
      <x:c r="G2" s="6" t="str">
        <x:v>Route outputs stay numeric: ignore, watch, promote, episode, emergency, send_upward.</x:v>
      </x:c>
      <x:c r="H2" s="6" t="str">
        <x:v>Route outputs stay numeric: ignore, watch, promote, episode, emergency, send_upward.</x:v>
      </x:c>
      <x:c r="I2" s="6" t="str">
        <x:v>Route outputs stay numeric: ignore, watch, promote, episode, emergency, send_upward.</x:v>
      </x:c>
      <x:c r="J2" s="6" t="str">
        <x:v>Route outputs stay numeric: ignore, watch, promote, episode, emergency, send_upward.</x:v>
      </x:c>
      <x:c r="K2" s="6" t="str">
        <x:v>Route outputs stay numeric: ignore, watch, promote, episode, emergency, send_upward.</x:v>
      </x:c>
      <x:c r="L2" s="6" t="str">
        <x:v>Route outputs stay numeric: ignore, watch, promote, episode, emergency, send_upward.</x:v>
      </x:c>
      <x:c r="M2" s="6" t="str">
        <x:v>Route outputs stay numeric: ignore, watch, promote, episode, emergency, send_upward.</x:v>
      </x:c>
    </x:row>
    <x:row r="5">
      <x:c r="A5" s="9" t="str">
        <x:v>sample</x:v>
      </x:c>
      <x:c r="B5" s="10" t="str">
        <x:v>tick</x:v>
      </x:c>
      <x:c r="C5" s="10" t="str">
        <x:v>n</x:v>
      </x:c>
      <x:c r="D5" s="10" t="str">
        <x:v>d</x:v>
      </x:c>
      <x:c r="E5" s="10" t="str">
        <x:v>x</x:v>
      </x:c>
      <x:c r="F5" s="10" t="str">
        <x:v>a</x:v>
      </x:c>
      <x:c r="G5" s="10" t="str">
        <x:v>res</x:v>
      </x:c>
      <x:c r="H5" s="10" t="str">
        <x:v>ignore</x:v>
      </x:c>
      <x:c r="I5" s="10" t="str">
        <x:v>watch</x:v>
      </x:c>
      <x:c r="J5" s="10" t="str">
        <x:v>promote</x:v>
      </x:c>
      <x:c r="K5" s="10" t="str">
        <x:v>episode</x:v>
      </x:c>
      <x:c r="L5" s="10" t="str">
        <x:v>emerg</x:v>
      </x:c>
      <x:c r="M5" s="11" t="str">
        <x:v>up</x:v>
      </x:c>
    </x:row>
    <x:row r="6">
      <x:c r="A6" t="n">
        <x:f>'00 Compact View'!A6</x:f>
        <x:v>1</x:v>
      </x:c>
      <x:c r="B6" t="n">
        <x:f>'00 Compact View'!B6</x:f>
        <x:v>1</x:v>
      </x:c>
      <x:c r="C6" s="12" t="n">
        <x:f>SUM('00 Compact View'!H6:L6)/5</x:f>
        <x:v>0</x:v>
      </x:c>
      <x:c r="D6" s="12" t="n">
        <x:f>SUM('00 Compact View'!M6:Q6)/5</x:f>
        <x:v>0</x:v>
      </x:c>
      <x:c r="E6" s="12" t="n">
        <x:f>'00 Compact View'!R6</x:f>
        <x:v>0</x:v>
      </x:c>
      <x:c r="F6" s="12" t="n">
        <x:f>'00 Compact View'!T6</x:f>
        <x:v>0</x:v>
      </x:c>
      <x:c r="G6" s="12" t="n">
        <x:f>'04 Resource Body'!$B$10</x:f>
        <x:v>0</x:v>
      </x:c>
      <x:c r="H6" t="n">
        <x:f>--(M6=0)</x:f>
        <x:v>1</x:v>
      </x:c>
      <x:c r="I6" t="n">
        <x:f>--(MIN(1,C6+D6+(E6*'03 Mind Knobs'!$B$17)+(F6*'03 Mind Knobs'!$B$18)+('03 Mind Knobs'!$B$7*F6))&gt;=MAX(0.15,0.35+(G6*'03 Mind Knobs'!$B$10)-('03 Mind Knobs'!$B$13*0.15)))</x:f>
        <x:v>0</x:v>
      </x:c>
      <x:c r="J6" t="n">
        <x:f>--(MIN(1,C6+D6+(E6*'03 Mind Knobs'!$B$17)+(F6*'03 Mind Knobs'!$B$18)+('03 Mind Knobs'!$B$7*F6))&gt;=MIN(0.95,'03 Mind Knobs'!$B$19+(G6*'03 Mind Knobs'!$B$10)-('03 Mind Knobs'!$B$13*0.10)))</x:f>
        <x:v>0</x:v>
      </x:c>
      <x:c r="K6" t="n">
        <x:f>--(AND(J6=1,OR(E6=1,F6=1)))</x:f>
        <x:v>0</x:v>
      </x:c>
      <x:c r="L6" t="n">
        <x:f>--(MAX(SUMIFS('00 Compact View'!$H$6:$H$205,'00 Compact View'!$A$6:$A$205,A6,'00 Compact View'!$B$6:$B$205,"&gt;="&amp;B6-'03 Mind Knobs'!$B$16+1,'00 Compact View'!$B$6:$B$205,"&lt;="&amp;B6),SUMIFS('00 Compact View'!$I$6:$I$205,'00 Compact View'!$A$6:$A$205,A6,'00 Compact View'!$B$6:$B$205,"&gt;="&amp;B6-'03 Mind Knobs'!$B$16+1,'00 Compact View'!$B$6:$B$205,"&lt;="&amp;B6),SUMIFS('00 Compact View'!$J$6:$J$205,'00 Compact View'!$A$6:$A$205,A6,'00 Compact View'!$B$6:$B$205,"&gt;="&amp;B6-'03 Mind Knobs'!$B$16+1,'00 Compact View'!$B$6:$B$205,"&lt;="&amp;B6),SUMIFS('00 Compact View'!$K$6:$K$205,'00 Compact View'!$A$6:$A$205,A6,'00 Compact View'!$B$6:$B$205,"&gt;="&amp;B6-'03 Mind Knobs'!$B$16+1,'00 Compact View'!$B$6:$B$205,"&lt;="&amp;B6),SUMIFS('00 Compact View'!$L$6:$L$205,'00 Compact View'!$A$6:$A$205,A6,'00 Compact View'!$B$6:$B$205,"&gt;="&amp;B6-'03 Mind Knobs'!$B$16+1,'00 Compact View'!$B$6:$B$205,"&lt;="&amp;B6))&gt;=MAX(1,ROUNDUP('03 Mind Knobs'!$B$16*(1-'03 Mind Knobs'!$B$8),0)))</x:f>
        <x:v>0</x:v>
      </x:c>
      <x:c r="M6" t="n">
        <x:f>--(OR(I6=1,J6=1,K6=1,L6=1))</x:f>
        <x:v>0</x:v>
      </x:c>
    </x:row>
    <x:row r="7">
      <x:c r="A7" t="n">
        <x:f>'00 Compact View'!A7</x:f>
        <x:v>1</x:v>
      </x:c>
      <x:c r="B7" t="n">
        <x:f>'00 Compact View'!B7</x:f>
        <x:v>2</x:v>
      </x:c>
      <x:c r="C7" s="12" t="n">
        <x:f>SUM('00 Compact View'!H7:L7)/5</x:f>
        <x:v>0</x:v>
      </x:c>
      <x:c r="D7" s="12" t="n">
        <x:f>SUM('00 Compact View'!M7:Q7)/5</x:f>
        <x:v>0</x:v>
      </x:c>
      <x:c r="E7" s="12" t="n">
        <x:f>'00 Compact View'!R7</x:f>
        <x:v>0</x:v>
      </x:c>
      <x:c r="F7" s="12" t="n">
        <x:f>'00 Compact View'!T7</x:f>
        <x:v>0</x:v>
      </x:c>
      <x:c r="G7" s="12" t="n">
        <x:f>'04 Resource Body'!$B$10</x:f>
        <x:v>0</x:v>
      </x:c>
      <x:c r="H7" t="n">
        <x:f>--(M7=0)</x:f>
        <x:v>1</x:v>
      </x:c>
      <x:c r="I7" t="n">
        <x:f>--(MIN(1,C7+D7+(E7*'03 Mind Knobs'!$B$17)+(F7*'03 Mind Knobs'!$B$18)+('03 Mind Knobs'!$B$7*F7))&gt;=MAX(0.15,0.35+(G7*'03 Mind Knobs'!$B$10)-('03 Mind Knobs'!$B$13*0.15)))</x:f>
        <x:v>0</x:v>
      </x:c>
      <x:c r="J7" t="n">
        <x:f>--(MIN(1,C7+D7+(E7*'03 Mind Knobs'!$B$17)+(F7*'03 Mind Knobs'!$B$18)+('03 Mind Knobs'!$B$7*F7))&gt;=MIN(0.95,'03 Mind Knobs'!$B$19+(G7*'03 Mind Knobs'!$B$10)-('03 Mind Knobs'!$B$13*0.10)))</x:f>
        <x:v>0</x:v>
      </x:c>
      <x:c r="K7" t="n">
        <x:f>--(AND(J7=1,OR(E7=1,F7=1)))</x:f>
        <x:v>0</x:v>
      </x:c>
      <x:c r="L7" t="n">
        <x:f>--(MAX(SUMIFS('00 Compact View'!$H$6:$H$205,'00 Compact View'!$A$6:$A$205,A7,'00 Compact View'!$B$6:$B$205,"&gt;="&amp;B7-'03 Mind Knobs'!$B$16+1,'00 Compact View'!$B$6:$B$205,"&lt;="&amp;B7),SUMIFS('00 Compact View'!$I$6:$I$205,'00 Compact View'!$A$6:$A$205,A7,'00 Compact View'!$B$6:$B$205,"&gt;="&amp;B7-'03 Mind Knobs'!$B$16+1,'00 Compact View'!$B$6:$B$205,"&lt;="&amp;B7),SUMIFS('00 Compact View'!$J$6:$J$205,'00 Compact View'!$A$6:$A$205,A7,'00 Compact View'!$B$6:$B$205,"&gt;="&amp;B7-'03 Mind Knobs'!$B$16+1,'00 Compact View'!$B$6:$B$205,"&lt;="&amp;B7),SUMIFS('00 Compact View'!$K$6:$K$205,'00 Compact View'!$A$6:$A$205,A7,'00 Compact View'!$B$6:$B$205,"&gt;="&amp;B7-'03 Mind Knobs'!$B$16+1,'00 Compact View'!$B$6:$B$205,"&lt;="&amp;B7),SUMIFS('00 Compact View'!$L$6:$L$205,'00 Compact View'!$A$6:$A$205,A7,'00 Compact View'!$B$6:$B$205,"&gt;="&amp;B7-'03 Mind Knobs'!$B$16+1,'00 Compact View'!$B$6:$B$205,"&lt;="&amp;B7))&gt;=MAX(1,ROUNDUP('03 Mind Knobs'!$B$16*(1-'03 Mind Knobs'!$B$8),0)))</x:f>
        <x:v>0</x:v>
      </x:c>
      <x:c r="M7" t="n">
        <x:f>--(OR(I7=1,J7=1,K7=1,L7=1))</x:f>
        <x:v>0</x:v>
      </x:c>
    </x:row>
    <x:row r="8">
      <x:c r="A8" t="n">
        <x:f>'00 Compact View'!A8</x:f>
        <x:v>1</x:v>
      </x:c>
      <x:c r="B8" t="n">
        <x:f>'00 Compact View'!B8</x:f>
        <x:v>3</x:v>
      </x:c>
      <x:c r="C8" s="12" t="n">
        <x:f>SUM('00 Compact View'!H8:L8)/5</x:f>
        <x:v>0</x:v>
      </x:c>
      <x:c r="D8" s="12" t="n">
        <x:f>SUM('00 Compact View'!M8:Q8)/5</x:f>
        <x:v>0</x:v>
      </x:c>
      <x:c r="E8" s="12" t="n">
        <x:f>'00 Compact View'!R8</x:f>
        <x:v>0</x:v>
      </x:c>
      <x:c r="F8" s="12" t="n">
        <x:f>'00 Compact View'!T8</x:f>
        <x:v>0</x:v>
      </x:c>
      <x:c r="G8" s="12" t="n">
        <x:f>'04 Resource Body'!$B$10</x:f>
        <x:v>0</x:v>
      </x:c>
      <x:c r="H8" t="n">
        <x:f>--(M8=0)</x:f>
        <x:v>1</x:v>
      </x:c>
      <x:c r="I8" t="n">
        <x:f>--(MIN(1,C8+D8+(E8*'03 Mind Knobs'!$B$17)+(F8*'03 Mind Knobs'!$B$18)+('03 Mind Knobs'!$B$7*F8))&gt;=MAX(0.15,0.35+(G8*'03 Mind Knobs'!$B$10)-('03 Mind Knobs'!$B$13*0.15)))</x:f>
        <x:v>0</x:v>
      </x:c>
      <x:c r="J8" t="n">
        <x:f>--(MIN(1,C8+D8+(E8*'03 Mind Knobs'!$B$17)+(F8*'03 Mind Knobs'!$B$18)+('03 Mind Knobs'!$B$7*F8))&gt;=MIN(0.95,'03 Mind Knobs'!$B$19+(G8*'03 Mind Knobs'!$B$10)-('03 Mind Knobs'!$B$13*0.10)))</x:f>
        <x:v>0</x:v>
      </x:c>
      <x:c r="K8" t="n">
        <x:f>--(AND(J8=1,OR(E8=1,F8=1)))</x:f>
        <x:v>0</x:v>
      </x:c>
      <x:c r="L8" t="n">
        <x:f>--(MAX(SUMIFS('00 Compact View'!$H$6:$H$205,'00 Compact View'!$A$6:$A$205,A8,'00 Compact View'!$B$6:$B$205,"&gt;="&amp;B8-'03 Mind Knobs'!$B$16+1,'00 Compact View'!$B$6:$B$205,"&lt;="&amp;B8),SUMIFS('00 Compact View'!$I$6:$I$205,'00 Compact View'!$A$6:$A$205,A8,'00 Compact View'!$B$6:$B$205,"&gt;="&amp;B8-'03 Mind Knobs'!$B$16+1,'00 Compact View'!$B$6:$B$205,"&lt;="&amp;B8),SUMIFS('00 Compact View'!$J$6:$J$205,'00 Compact View'!$A$6:$A$205,A8,'00 Compact View'!$B$6:$B$205,"&gt;="&amp;B8-'03 Mind Knobs'!$B$16+1,'00 Compact View'!$B$6:$B$205,"&lt;="&amp;B8),SUMIFS('00 Compact View'!$K$6:$K$205,'00 Compact View'!$A$6:$A$205,A8,'00 Compact View'!$B$6:$B$205,"&gt;="&amp;B8-'03 Mind Knobs'!$B$16+1,'00 Compact View'!$B$6:$B$205,"&lt;="&amp;B8),SUMIFS('00 Compact View'!$L$6:$L$205,'00 Compact View'!$A$6:$A$205,A8,'00 Compact View'!$B$6:$B$205,"&gt;="&amp;B8-'03 Mind Knobs'!$B$16+1,'00 Compact View'!$B$6:$B$205,"&lt;="&amp;B8))&gt;=MAX(1,ROUNDUP('03 Mind Knobs'!$B$16*(1-'03 Mind Knobs'!$B$8),0)))</x:f>
        <x:v>0</x:v>
      </x:c>
      <x:c r="M8" t="n">
        <x:f>--(OR(I8=1,J8=1,K8=1,L8=1))</x:f>
        <x:v>0</x:v>
      </x:c>
    </x:row>
    <x:row r="9">
      <x:c r="A9" t="n">
        <x:f>'00 Compact View'!A9</x:f>
        <x:v>1</x:v>
      </x:c>
      <x:c r="B9" t="n">
        <x:f>'00 Compact View'!B9</x:f>
        <x:v>4</x:v>
      </x:c>
      <x:c r="C9" s="12" t="n">
        <x:f>SUM('00 Compact View'!H9:L9)/5</x:f>
        <x:v>0</x:v>
      </x:c>
      <x:c r="D9" s="12" t="n">
        <x:f>SUM('00 Compact View'!M9:Q9)/5</x:f>
        <x:v>0</x:v>
      </x:c>
      <x:c r="E9" s="12" t="n">
        <x:f>'00 Compact View'!R9</x:f>
        <x:v>0</x:v>
      </x:c>
      <x:c r="F9" s="12" t="n">
        <x:f>'00 Compact View'!T9</x:f>
        <x:v>0</x:v>
      </x:c>
      <x:c r="G9" s="12" t="n">
        <x:f>'04 Resource Body'!$B$10</x:f>
        <x:v>0</x:v>
      </x:c>
      <x:c r="H9" t="n">
        <x:f>--(M9=0)</x:f>
        <x:v>1</x:v>
      </x:c>
      <x:c r="I9" t="n">
        <x:f>--(MIN(1,C9+D9+(E9*'03 Mind Knobs'!$B$17)+(F9*'03 Mind Knobs'!$B$18)+('03 Mind Knobs'!$B$7*F9))&gt;=MAX(0.15,0.35+(G9*'03 Mind Knobs'!$B$10)-('03 Mind Knobs'!$B$13*0.15)))</x:f>
        <x:v>0</x:v>
      </x:c>
      <x:c r="J9" t="n">
        <x:f>--(MIN(1,C9+D9+(E9*'03 Mind Knobs'!$B$17)+(F9*'03 Mind Knobs'!$B$18)+('03 Mind Knobs'!$B$7*F9))&gt;=MIN(0.95,'03 Mind Knobs'!$B$19+(G9*'03 Mind Knobs'!$B$10)-('03 Mind Knobs'!$B$13*0.10)))</x:f>
        <x:v>0</x:v>
      </x:c>
      <x:c r="K9" t="n">
        <x:f>--(AND(J9=1,OR(E9=1,F9=1)))</x:f>
        <x:v>0</x:v>
      </x:c>
      <x:c r="L9" t="n">
        <x:f>--(MAX(SUMIFS('00 Compact View'!$H$6:$H$205,'00 Compact View'!$A$6:$A$205,A9,'00 Compact View'!$B$6:$B$205,"&gt;="&amp;B9-'03 Mind Knobs'!$B$16+1,'00 Compact View'!$B$6:$B$205,"&lt;="&amp;B9),SUMIFS('00 Compact View'!$I$6:$I$205,'00 Compact View'!$A$6:$A$205,A9,'00 Compact View'!$B$6:$B$205,"&gt;="&amp;B9-'03 Mind Knobs'!$B$16+1,'00 Compact View'!$B$6:$B$205,"&lt;="&amp;B9),SUMIFS('00 Compact View'!$J$6:$J$205,'00 Compact View'!$A$6:$A$205,A9,'00 Compact View'!$B$6:$B$205,"&gt;="&amp;B9-'03 Mind Knobs'!$B$16+1,'00 Compact View'!$B$6:$B$205,"&lt;="&amp;B9),SUMIFS('00 Compact View'!$K$6:$K$205,'00 Compact View'!$A$6:$A$205,A9,'00 Compact View'!$B$6:$B$205,"&gt;="&amp;B9-'03 Mind Knobs'!$B$16+1,'00 Compact View'!$B$6:$B$205,"&lt;="&amp;B9),SUMIFS('00 Compact View'!$L$6:$L$205,'00 Compact View'!$A$6:$A$205,A9,'00 Compact View'!$B$6:$B$205,"&gt;="&amp;B9-'03 Mind Knobs'!$B$16+1,'00 Compact View'!$B$6:$B$205,"&lt;="&amp;B9))&gt;=MAX(1,ROUNDUP('03 Mind Knobs'!$B$16*(1-'03 Mind Knobs'!$B$8),0)))</x:f>
        <x:v>0</x:v>
      </x:c>
      <x:c r="M9" t="n">
        <x:f>--(OR(I9=1,J9=1,K9=1,L9=1))</x:f>
        <x:v>0</x:v>
      </x:c>
    </x:row>
    <x:row r="10">
      <x:c r="A10" t="n">
        <x:f>'00 Compact View'!A10</x:f>
        <x:v>1</x:v>
      </x:c>
      <x:c r="B10" t="n">
        <x:f>'00 Compact View'!B10</x:f>
        <x:v>5</x:v>
      </x:c>
      <x:c r="C10" s="12" t="n">
        <x:f>SUM('00 Compact View'!H10:L10)/5</x:f>
        <x:v>0</x:v>
      </x:c>
      <x:c r="D10" s="12" t="n">
        <x:f>SUM('00 Compact View'!M10:Q10)/5</x:f>
        <x:v>0</x:v>
      </x:c>
      <x:c r="E10" s="12" t="n">
        <x:f>'00 Compact View'!R10</x:f>
        <x:v>0</x:v>
      </x:c>
      <x:c r="F10" s="12" t="n">
        <x:f>'00 Compact View'!T10</x:f>
        <x:v>0</x:v>
      </x:c>
      <x:c r="G10" s="12" t="n">
        <x:f>'04 Resource Body'!$B$10</x:f>
        <x:v>0</x:v>
      </x:c>
      <x:c r="H10" t="n">
        <x:f>--(M10=0)</x:f>
        <x:v>1</x:v>
      </x:c>
      <x:c r="I10" t="n">
        <x:f>--(MIN(1,C10+D10+(E10*'03 Mind Knobs'!$B$17)+(F10*'03 Mind Knobs'!$B$18)+('03 Mind Knobs'!$B$7*F10))&gt;=MAX(0.15,0.35+(G10*'03 Mind Knobs'!$B$10)-('03 Mind Knobs'!$B$13*0.15)))</x:f>
        <x:v>0</x:v>
      </x:c>
      <x:c r="J10" t="n">
        <x:f>--(MIN(1,C10+D10+(E10*'03 Mind Knobs'!$B$17)+(F10*'03 Mind Knobs'!$B$18)+('03 Mind Knobs'!$B$7*F10))&gt;=MIN(0.95,'03 Mind Knobs'!$B$19+(G10*'03 Mind Knobs'!$B$10)-('03 Mind Knobs'!$B$13*0.10)))</x:f>
        <x:v>0</x:v>
      </x:c>
      <x:c r="K10" t="n">
        <x:f>--(AND(J10=1,OR(E10=1,F10=1)))</x:f>
        <x:v>0</x:v>
      </x:c>
      <x:c r="L10" t="n">
        <x:f>--(MAX(SUMIFS('00 Compact View'!$H$6:$H$205,'00 Compact View'!$A$6:$A$205,A10,'00 Compact View'!$B$6:$B$205,"&gt;="&amp;B10-'03 Mind Knobs'!$B$16+1,'00 Compact View'!$B$6:$B$205,"&lt;="&amp;B10),SUMIFS('00 Compact View'!$I$6:$I$205,'00 Compact View'!$A$6:$A$205,A10,'00 Compact View'!$B$6:$B$205,"&gt;="&amp;B10-'03 Mind Knobs'!$B$16+1,'00 Compact View'!$B$6:$B$205,"&lt;="&amp;B10),SUMIFS('00 Compact View'!$J$6:$J$205,'00 Compact View'!$A$6:$A$205,A10,'00 Compact View'!$B$6:$B$205,"&gt;="&amp;B10-'03 Mind Knobs'!$B$16+1,'00 Compact View'!$B$6:$B$205,"&lt;="&amp;B10),SUMIFS('00 Compact View'!$K$6:$K$205,'00 Compact View'!$A$6:$A$205,A10,'00 Compact View'!$B$6:$B$205,"&gt;="&amp;B10-'03 Mind Knobs'!$B$16+1,'00 Compact View'!$B$6:$B$205,"&lt;="&amp;B10),SUMIFS('00 Compact View'!$L$6:$L$205,'00 Compact View'!$A$6:$A$205,A10,'00 Compact View'!$B$6:$B$205,"&gt;="&amp;B10-'03 Mind Knobs'!$B$16+1,'00 Compact View'!$B$6:$B$205,"&lt;="&amp;B10))&gt;=MAX(1,ROUNDUP('03 Mind Knobs'!$B$16*(1-'03 Mind Knobs'!$B$8),0)))</x:f>
        <x:v>0</x:v>
      </x:c>
      <x:c r="M10" t="n">
        <x:f>--(OR(I10=1,J10=1,K10=1,L10=1))</x:f>
        <x:v>0</x:v>
      </x:c>
    </x:row>
    <x:row r="11">
      <x:c r="A11" t="n">
        <x:f>'00 Compact View'!A11</x:f>
        <x:v>1</x:v>
      </x:c>
      <x:c r="B11" t="n">
        <x:f>'00 Compact View'!B11</x:f>
        <x:v>6</x:v>
      </x:c>
      <x:c r="C11" s="12" t="n">
        <x:f>SUM('00 Compact View'!H11:L11)/5</x:f>
        <x:v>0</x:v>
      </x:c>
      <x:c r="D11" s="12" t="n">
        <x:f>SUM('00 Compact View'!M11:Q11)/5</x:f>
        <x:v>0</x:v>
      </x:c>
      <x:c r="E11" s="12" t="n">
        <x:f>'00 Compact View'!R11</x:f>
        <x:v>0</x:v>
      </x:c>
      <x:c r="F11" s="12" t="n">
        <x:f>'00 Compact View'!T11</x:f>
        <x:v>0</x:v>
      </x:c>
      <x:c r="G11" s="12" t="n">
        <x:f>'04 Resource Body'!$B$10</x:f>
        <x:v>0</x:v>
      </x:c>
      <x:c r="H11" t="n">
        <x:f>--(M11=0)</x:f>
        <x:v>1</x:v>
      </x:c>
      <x:c r="I11" t="n">
        <x:f>--(MIN(1,C11+D11+(E11*'03 Mind Knobs'!$B$17)+(F11*'03 Mind Knobs'!$B$18)+('03 Mind Knobs'!$B$7*F11))&gt;=MAX(0.15,0.35+(G11*'03 Mind Knobs'!$B$10)-('03 Mind Knobs'!$B$13*0.15)))</x:f>
        <x:v>0</x:v>
      </x:c>
      <x:c r="J11" t="n">
        <x:f>--(MIN(1,C11+D11+(E11*'03 Mind Knobs'!$B$17)+(F11*'03 Mind Knobs'!$B$18)+('03 Mind Knobs'!$B$7*F11))&gt;=MIN(0.95,'03 Mind Knobs'!$B$19+(G11*'03 Mind Knobs'!$B$10)-('03 Mind Knobs'!$B$13*0.10)))</x:f>
        <x:v>0</x:v>
      </x:c>
      <x:c r="K11" t="n">
        <x:f>--(AND(J11=1,OR(E11=1,F11=1)))</x:f>
        <x:v>0</x:v>
      </x:c>
      <x:c r="L11" t="n">
        <x:f>--(MAX(SUMIFS('00 Compact View'!$H$6:$H$205,'00 Compact View'!$A$6:$A$205,A11,'00 Compact View'!$B$6:$B$205,"&gt;="&amp;B11-'03 Mind Knobs'!$B$16+1,'00 Compact View'!$B$6:$B$205,"&lt;="&amp;B11),SUMIFS('00 Compact View'!$I$6:$I$205,'00 Compact View'!$A$6:$A$205,A11,'00 Compact View'!$B$6:$B$205,"&gt;="&amp;B11-'03 Mind Knobs'!$B$16+1,'00 Compact View'!$B$6:$B$205,"&lt;="&amp;B11),SUMIFS('00 Compact View'!$J$6:$J$205,'00 Compact View'!$A$6:$A$205,A11,'00 Compact View'!$B$6:$B$205,"&gt;="&amp;B11-'03 Mind Knobs'!$B$16+1,'00 Compact View'!$B$6:$B$205,"&lt;="&amp;B11),SUMIFS('00 Compact View'!$K$6:$K$205,'00 Compact View'!$A$6:$A$205,A11,'00 Compact View'!$B$6:$B$205,"&gt;="&amp;B11-'03 Mind Knobs'!$B$16+1,'00 Compact View'!$B$6:$B$205,"&lt;="&amp;B11),SUMIFS('00 Compact View'!$L$6:$L$205,'00 Compact View'!$A$6:$A$205,A11,'00 Compact View'!$B$6:$B$205,"&gt;="&amp;B11-'03 Mind Knobs'!$B$16+1,'00 Compact View'!$B$6:$B$205,"&lt;="&amp;B11))&gt;=MAX(1,ROUNDUP('03 Mind Knobs'!$B$16*(1-'03 Mind Knobs'!$B$8),0)))</x:f>
        <x:v>0</x:v>
      </x:c>
      <x:c r="M11" t="n">
        <x:f>--(OR(I11=1,J11=1,K11=1,L11=1))</x:f>
        <x:v>0</x:v>
      </x:c>
    </x:row>
    <x:row r="12">
      <x:c r="A12" t="n">
        <x:f>'00 Compact View'!A12</x:f>
        <x:v>1</x:v>
      </x:c>
      <x:c r="B12" t="n">
        <x:f>'00 Compact View'!B12</x:f>
        <x:v>7</x:v>
      </x:c>
      <x:c r="C12" s="12" t="n">
        <x:f>SUM('00 Compact View'!H12:L12)/5</x:f>
        <x:v>0</x:v>
      </x:c>
      <x:c r="D12" s="12" t="n">
        <x:f>SUM('00 Compact View'!M12:Q12)/5</x:f>
        <x:v>0</x:v>
      </x:c>
      <x:c r="E12" s="12" t="n">
        <x:f>'00 Compact View'!R12</x:f>
        <x:v>0</x:v>
      </x:c>
      <x:c r="F12" s="12" t="n">
        <x:f>'00 Compact View'!T12</x:f>
        <x:v>0</x:v>
      </x:c>
      <x:c r="G12" s="12" t="n">
        <x:f>'04 Resource Body'!$B$10</x:f>
        <x:v>0</x:v>
      </x:c>
      <x:c r="H12" t="n">
        <x:f>--(M12=0)</x:f>
        <x:v>1</x:v>
      </x:c>
      <x:c r="I12" t="n">
        <x:f>--(MIN(1,C12+D12+(E12*'03 Mind Knobs'!$B$17)+(F12*'03 Mind Knobs'!$B$18)+('03 Mind Knobs'!$B$7*F12))&gt;=MAX(0.15,0.35+(G12*'03 Mind Knobs'!$B$10)-('03 Mind Knobs'!$B$13*0.15)))</x:f>
        <x:v>0</x:v>
      </x:c>
      <x:c r="J12" t="n">
        <x:f>--(MIN(1,C12+D12+(E12*'03 Mind Knobs'!$B$17)+(F12*'03 Mind Knobs'!$B$18)+('03 Mind Knobs'!$B$7*F12))&gt;=MIN(0.95,'03 Mind Knobs'!$B$19+(G12*'03 Mind Knobs'!$B$10)-('03 Mind Knobs'!$B$13*0.10)))</x:f>
        <x:v>0</x:v>
      </x:c>
      <x:c r="K12" t="n">
        <x:f>--(AND(J12=1,OR(E12=1,F12=1)))</x:f>
        <x:v>0</x:v>
      </x:c>
      <x:c r="L12" t="n">
        <x:f>--(MAX(SUMIFS('00 Compact View'!$H$6:$H$205,'00 Compact View'!$A$6:$A$205,A12,'00 Compact View'!$B$6:$B$205,"&gt;="&amp;B12-'03 Mind Knobs'!$B$16+1,'00 Compact View'!$B$6:$B$205,"&lt;="&amp;B12),SUMIFS('00 Compact View'!$I$6:$I$205,'00 Compact View'!$A$6:$A$205,A12,'00 Compact View'!$B$6:$B$205,"&gt;="&amp;B12-'03 Mind Knobs'!$B$16+1,'00 Compact View'!$B$6:$B$205,"&lt;="&amp;B12),SUMIFS('00 Compact View'!$J$6:$J$205,'00 Compact View'!$A$6:$A$205,A12,'00 Compact View'!$B$6:$B$205,"&gt;="&amp;B12-'03 Mind Knobs'!$B$16+1,'00 Compact View'!$B$6:$B$205,"&lt;="&amp;B12),SUMIFS('00 Compact View'!$K$6:$K$205,'00 Compact View'!$A$6:$A$205,A12,'00 Compact View'!$B$6:$B$205,"&gt;="&amp;B12-'03 Mind Knobs'!$B$16+1,'00 Compact View'!$B$6:$B$205,"&lt;="&amp;B12),SUMIFS('00 Compact View'!$L$6:$L$205,'00 Compact View'!$A$6:$A$205,A12,'00 Compact View'!$B$6:$B$205,"&gt;="&amp;B12-'03 Mind Knobs'!$B$16+1,'00 Compact View'!$B$6:$B$205,"&lt;="&amp;B12))&gt;=MAX(1,ROUNDUP('03 Mind Knobs'!$B$16*(1-'03 Mind Knobs'!$B$8),0)))</x:f>
        <x:v>0</x:v>
      </x:c>
      <x:c r="M12" t="n">
        <x:f>--(OR(I12=1,J12=1,K12=1,L12=1))</x:f>
        <x:v>0</x:v>
      </x:c>
    </x:row>
    <x:row r="13">
      <x:c r="A13" t="n">
        <x:f>'00 Compact View'!A13</x:f>
        <x:v>1</x:v>
      </x:c>
      <x:c r="B13" t="n">
        <x:f>'00 Compact View'!B13</x:f>
        <x:v>8</x:v>
      </x:c>
      <x:c r="C13" s="12" t="n">
        <x:f>SUM('00 Compact View'!H13:L13)/5</x:f>
        <x:v>0</x:v>
      </x:c>
      <x:c r="D13" s="12" t="n">
        <x:f>SUM('00 Compact View'!M13:Q13)/5</x:f>
        <x:v>0</x:v>
      </x:c>
      <x:c r="E13" s="12" t="n">
        <x:f>'00 Compact View'!R13</x:f>
        <x:v>0</x:v>
      </x:c>
      <x:c r="F13" s="12" t="n">
        <x:f>'00 Compact View'!T13</x:f>
        <x:v>0</x:v>
      </x:c>
      <x:c r="G13" s="12" t="n">
        <x:f>'04 Resource Body'!$B$10</x:f>
        <x:v>0</x:v>
      </x:c>
      <x:c r="H13" t="n">
        <x:f>--(M13=0)</x:f>
        <x:v>1</x:v>
      </x:c>
      <x:c r="I13" t="n">
        <x:f>--(MIN(1,C13+D13+(E13*'03 Mind Knobs'!$B$17)+(F13*'03 Mind Knobs'!$B$18)+('03 Mind Knobs'!$B$7*F13))&gt;=MAX(0.15,0.35+(G13*'03 Mind Knobs'!$B$10)-('03 Mind Knobs'!$B$13*0.15)))</x:f>
        <x:v>0</x:v>
      </x:c>
      <x:c r="J13" t="n">
        <x:f>--(MIN(1,C13+D13+(E13*'03 Mind Knobs'!$B$17)+(F13*'03 Mind Knobs'!$B$18)+('03 Mind Knobs'!$B$7*F13))&gt;=MIN(0.95,'03 Mind Knobs'!$B$19+(G13*'03 Mind Knobs'!$B$10)-('03 Mind Knobs'!$B$13*0.10)))</x:f>
        <x:v>0</x:v>
      </x:c>
      <x:c r="K13" t="n">
        <x:f>--(AND(J13=1,OR(E13=1,F13=1)))</x:f>
        <x:v>0</x:v>
      </x:c>
      <x:c r="L13" t="n">
        <x:f>--(MAX(SUMIFS('00 Compact View'!$H$6:$H$205,'00 Compact View'!$A$6:$A$205,A13,'00 Compact View'!$B$6:$B$205,"&gt;="&amp;B13-'03 Mind Knobs'!$B$16+1,'00 Compact View'!$B$6:$B$205,"&lt;="&amp;B13),SUMIFS('00 Compact View'!$I$6:$I$205,'00 Compact View'!$A$6:$A$205,A13,'00 Compact View'!$B$6:$B$205,"&gt;="&amp;B13-'03 Mind Knobs'!$B$16+1,'00 Compact View'!$B$6:$B$205,"&lt;="&amp;B13),SUMIFS('00 Compact View'!$J$6:$J$205,'00 Compact View'!$A$6:$A$205,A13,'00 Compact View'!$B$6:$B$205,"&gt;="&amp;B13-'03 Mind Knobs'!$B$16+1,'00 Compact View'!$B$6:$B$205,"&lt;="&amp;B13),SUMIFS('00 Compact View'!$K$6:$K$205,'00 Compact View'!$A$6:$A$205,A13,'00 Compact View'!$B$6:$B$205,"&gt;="&amp;B13-'03 Mind Knobs'!$B$16+1,'00 Compact View'!$B$6:$B$205,"&lt;="&amp;B13),SUMIFS('00 Compact View'!$L$6:$L$205,'00 Compact View'!$A$6:$A$205,A13,'00 Compact View'!$B$6:$B$205,"&gt;="&amp;B13-'03 Mind Knobs'!$B$16+1,'00 Compact View'!$B$6:$B$205,"&lt;="&amp;B13))&gt;=MAX(1,ROUNDUP('03 Mind Knobs'!$B$16*(1-'03 Mind Knobs'!$B$8),0)))</x:f>
        <x:v>0</x:v>
      </x:c>
      <x:c r="M13" t="n">
        <x:f>--(OR(I13=1,J13=1,K13=1,L13=1))</x:f>
        <x:v>0</x:v>
      </x:c>
    </x:row>
    <x:row r="14">
      <x:c r="A14" t="n">
        <x:f>'00 Compact View'!A14</x:f>
        <x:v>1</x:v>
      </x:c>
      <x:c r="B14" t="n">
        <x:f>'00 Compact View'!B14</x:f>
        <x:v>9</x:v>
      </x:c>
      <x:c r="C14" s="12" t="n">
        <x:f>SUM('00 Compact View'!H14:L14)/5</x:f>
        <x:v>0</x:v>
      </x:c>
      <x:c r="D14" s="12" t="n">
        <x:f>SUM('00 Compact View'!M14:Q14)/5</x:f>
        <x:v>0</x:v>
      </x:c>
      <x:c r="E14" s="12" t="n">
        <x:f>'00 Compact View'!R14</x:f>
        <x:v>0</x:v>
      </x:c>
      <x:c r="F14" s="12" t="n">
        <x:f>'00 Compact View'!T14</x:f>
        <x:v>0</x:v>
      </x:c>
      <x:c r="G14" s="12" t="n">
        <x:f>'04 Resource Body'!$B$10</x:f>
        <x:v>0</x:v>
      </x:c>
      <x:c r="H14" t="n">
        <x:f>--(M14=0)</x:f>
        <x:v>1</x:v>
      </x:c>
      <x:c r="I14" t="n">
        <x:f>--(MIN(1,C14+D14+(E14*'03 Mind Knobs'!$B$17)+(F14*'03 Mind Knobs'!$B$18)+('03 Mind Knobs'!$B$7*F14))&gt;=MAX(0.15,0.35+(G14*'03 Mind Knobs'!$B$10)-('03 Mind Knobs'!$B$13*0.15)))</x:f>
        <x:v>0</x:v>
      </x:c>
      <x:c r="J14" t="n">
        <x:f>--(MIN(1,C14+D14+(E14*'03 Mind Knobs'!$B$17)+(F14*'03 Mind Knobs'!$B$18)+('03 Mind Knobs'!$B$7*F14))&gt;=MIN(0.95,'03 Mind Knobs'!$B$19+(G14*'03 Mind Knobs'!$B$10)-('03 Mind Knobs'!$B$13*0.10)))</x:f>
        <x:v>0</x:v>
      </x:c>
      <x:c r="K14" t="n">
        <x:f>--(AND(J14=1,OR(E14=1,F14=1)))</x:f>
        <x:v>0</x:v>
      </x:c>
      <x:c r="L14" t="n">
        <x:f>--(MAX(SUMIFS('00 Compact View'!$H$6:$H$205,'00 Compact View'!$A$6:$A$205,A14,'00 Compact View'!$B$6:$B$205,"&gt;="&amp;B14-'03 Mind Knobs'!$B$16+1,'00 Compact View'!$B$6:$B$205,"&lt;="&amp;B14),SUMIFS('00 Compact View'!$I$6:$I$205,'00 Compact View'!$A$6:$A$205,A14,'00 Compact View'!$B$6:$B$205,"&gt;="&amp;B14-'03 Mind Knobs'!$B$16+1,'00 Compact View'!$B$6:$B$205,"&lt;="&amp;B14),SUMIFS('00 Compact View'!$J$6:$J$205,'00 Compact View'!$A$6:$A$205,A14,'00 Compact View'!$B$6:$B$205,"&gt;="&amp;B14-'03 Mind Knobs'!$B$16+1,'00 Compact View'!$B$6:$B$205,"&lt;="&amp;B14),SUMIFS('00 Compact View'!$K$6:$K$205,'00 Compact View'!$A$6:$A$205,A14,'00 Compact View'!$B$6:$B$205,"&gt;="&amp;B14-'03 Mind Knobs'!$B$16+1,'00 Compact View'!$B$6:$B$205,"&lt;="&amp;B14),SUMIFS('00 Compact View'!$L$6:$L$205,'00 Compact View'!$A$6:$A$205,A14,'00 Compact View'!$B$6:$B$205,"&gt;="&amp;B14-'03 Mind Knobs'!$B$16+1,'00 Compact View'!$B$6:$B$205,"&lt;="&amp;B14))&gt;=MAX(1,ROUNDUP('03 Mind Knobs'!$B$16*(1-'03 Mind Knobs'!$B$8),0)))</x:f>
        <x:v>0</x:v>
      </x:c>
      <x:c r="M14" t="n">
        <x:f>--(OR(I14=1,J14=1,K14=1,L14=1))</x:f>
        <x:v>0</x:v>
      </x:c>
    </x:row>
    <x:row r="15">
      <x:c r="A15" t="n">
        <x:f>'00 Compact View'!A15</x:f>
        <x:v>1</x:v>
      </x:c>
      <x:c r="B15" t="n">
        <x:f>'00 Compact View'!B15</x:f>
        <x:v>10</x:v>
      </x:c>
      <x:c r="C15" s="12" t="n">
        <x:f>SUM('00 Compact View'!H15:L15)/5</x:f>
        <x:v>0</x:v>
      </x:c>
      <x:c r="D15" s="12" t="n">
        <x:f>SUM('00 Compact View'!M15:Q15)/5</x:f>
        <x:v>0</x:v>
      </x:c>
      <x:c r="E15" s="12" t="n">
        <x:f>'00 Compact View'!R15</x:f>
        <x:v>0</x:v>
      </x:c>
      <x:c r="F15" s="12" t="n">
        <x:f>'00 Compact View'!T15</x:f>
        <x:v>0</x:v>
      </x:c>
      <x:c r="G15" s="12" t="n">
        <x:f>'04 Resource Body'!$B$10</x:f>
        <x:v>0</x:v>
      </x:c>
      <x:c r="H15" t="n">
        <x:f>--(M15=0)</x:f>
        <x:v>1</x:v>
      </x:c>
      <x:c r="I15" t="n">
        <x:f>--(MIN(1,C15+D15+(E15*'03 Mind Knobs'!$B$17)+(F15*'03 Mind Knobs'!$B$18)+('03 Mind Knobs'!$B$7*F15))&gt;=MAX(0.15,0.35+(G15*'03 Mind Knobs'!$B$10)-('03 Mind Knobs'!$B$13*0.15)))</x:f>
        <x:v>0</x:v>
      </x:c>
      <x:c r="J15" t="n">
        <x:f>--(MIN(1,C15+D15+(E15*'03 Mind Knobs'!$B$17)+(F15*'03 Mind Knobs'!$B$18)+('03 Mind Knobs'!$B$7*F15))&gt;=MIN(0.95,'03 Mind Knobs'!$B$19+(G15*'03 Mind Knobs'!$B$10)-('03 Mind Knobs'!$B$13*0.10)))</x:f>
        <x:v>0</x:v>
      </x:c>
      <x:c r="K15" t="n">
        <x:f>--(AND(J15=1,OR(E15=1,F15=1)))</x:f>
        <x:v>0</x:v>
      </x:c>
      <x:c r="L15" t="n">
        <x:f>--(MAX(SUMIFS('00 Compact View'!$H$6:$H$205,'00 Compact View'!$A$6:$A$205,A15,'00 Compact View'!$B$6:$B$205,"&gt;="&amp;B15-'03 Mind Knobs'!$B$16+1,'00 Compact View'!$B$6:$B$205,"&lt;="&amp;B15),SUMIFS('00 Compact View'!$I$6:$I$205,'00 Compact View'!$A$6:$A$205,A15,'00 Compact View'!$B$6:$B$205,"&gt;="&amp;B15-'03 Mind Knobs'!$B$16+1,'00 Compact View'!$B$6:$B$205,"&lt;="&amp;B15),SUMIFS('00 Compact View'!$J$6:$J$205,'00 Compact View'!$A$6:$A$205,A15,'00 Compact View'!$B$6:$B$205,"&gt;="&amp;B15-'03 Mind Knobs'!$B$16+1,'00 Compact View'!$B$6:$B$205,"&lt;="&amp;B15),SUMIFS('00 Compact View'!$K$6:$K$205,'00 Compact View'!$A$6:$A$205,A15,'00 Compact View'!$B$6:$B$205,"&gt;="&amp;B15-'03 Mind Knobs'!$B$16+1,'00 Compact View'!$B$6:$B$205,"&lt;="&amp;B15),SUMIFS('00 Compact View'!$L$6:$L$205,'00 Compact View'!$A$6:$A$205,A15,'00 Compact View'!$B$6:$B$205,"&gt;="&amp;B15-'03 Mind Knobs'!$B$16+1,'00 Compact View'!$B$6:$B$205,"&lt;="&amp;B15))&gt;=MAX(1,ROUNDUP('03 Mind Knobs'!$B$16*(1-'03 Mind Knobs'!$B$8),0)))</x:f>
        <x:v>0</x:v>
      </x:c>
      <x:c r="M15" t="n">
        <x:f>--(OR(I15=1,J15=1,K15=1,L15=1))</x:f>
        <x:v>0</x:v>
      </x:c>
    </x:row>
    <x:row r="16">
      <x:c r="A16" t="n">
        <x:f>'00 Compact View'!A16</x:f>
        <x:v>1</x:v>
      </x:c>
      <x:c r="B16" t="n">
        <x:f>'00 Compact View'!B16</x:f>
        <x:v>11</x:v>
      </x:c>
      <x:c r="C16" s="12" t="n">
        <x:f>SUM('00 Compact View'!H16:L16)/5</x:f>
        <x:v>0</x:v>
      </x:c>
      <x:c r="D16" s="12" t="n">
        <x:f>SUM('00 Compact View'!M16:Q16)/5</x:f>
        <x:v>0</x:v>
      </x:c>
      <x:c r="E16" s="12" t="n">
        <x:f>'00 Compact View'!R16</x:f>
        <x:v>0</x:v>
      </x:c>
      <x:c r="F16" s="12" t="n">
        <x:f>'00 Compact View'!T16</x:f>
        <x:v>0</x:v>
      </x:c>
      <x:c r="G16" s="12" t="n">
        <x:f>'04 Resource Body'!$B$10</x:f>
        <x:v>0</x:v>
      </x:c>
      <x:c r="H16" t="n">
        <x:f>--(M16=0)</x:f>
        <x:v>1</x:v>
      </x:c>
      <x:c r="I16" t="n">
        <x:f>--(MIN(1,C16+D16+(E16*'03 Mind Knobs'!$B$17)+(F16*'03 Mind Knobs'!$B$18)+('03 Mind Knobs'!$B$7*F16))&gt;=MAX(0.15,0.35+(G16*'03 Mind Knobs'!$B$10)-('03 Mind Knobs'!$B$13*0.15)))</x:f>
        <x:v>0</x:v>
      </x:c>
      <x:c r="J16" t="n">
        <x:f>--(MIN(1,C16+D16+(E16*'03 Mind Knobs'!$B$17)+(F16*'03 Mind Knobs'!$B$18)+('03 Mind Knobs'!$B$7*F16))&gt;=MIN(0.95,'03 Mind Knobs'!$B$19+(G16*'03 Mind Knobs'!$B$10)-('03 Mind Knobs'!$B$13*0.10)))</x:f>
        <x:v>0</x:v>
      </x:c>
      <x:c r="K16" t="n">
        <x:f>--(AND(J16=1,OR(E16=1,F16=1)))</x:f>
        <x:v>0</x:v>
      </x:c>
      <x:c r="L16" t="n">
        <x:f>--(MAX(SUMIFS('00 Compact View'!$H$6:$H$205,'00 Compact View'!$A$6:$A$205,A16,'00 Compact View'!$B$6:$B$205,"&gt;="&amp;B16-'03 Mind Knobs'!$B$16+1,'00 Compact View'!$B$6:$B$205,"&lt;="&amp;B16),SUMIFS('00 Compact View'!$I$6:$I$205,'00 Compact View'!$A$6:$A$205,A16,'00 Compact View'!$B$6:$B$205,"&gt;="&amp;B16-'03 Mind Knobs'!$B$16+1,'00 Compact View'!$B$6:$B$205,"&lt;="&amp;B16),SUMIFS('00 Compact View'!$J$6:$J$205,'00 Compact View'!$A$6:$A$205,A16,'00 Compact View'!$B$6:$B$205,"&gt;="&amp;B16-'03 Mind Knobs'!$B$16+1,'00 Compact View'!$B$6:$B$205,"&lt;="&amp;B16),SUMIFS('00 Compact View'!$K$6:$K$205,'00 Compact View'!$A$6:$A$205,A16,'00 Compact View'!$B$6:$B$205,"&gt;="&amp;B16-'03 Mind Knobs'!$B$16+1,'00 Compact View'!$B$6:$B$205,"&lt;="&amp;B16),SUMIFS('00 Compact View'!$L$6:$L$205,'00 Compact View'!$A$6:$A$205,A16,'00 Compact View'!$B$6:$B$205,"&gt;="&amp;B16-'03 Mind Knobs'!$B$16+1,'00 Compact View'!$B$6:$B$205,"&lt;="&amp;B16))&gt;=MAX(1,ROUNDUP('03 Mind Knobs'!$B$16*(1-'03 Mind Knobs'!$B$8),0)))</x:f>
        <x:v>0</x:v>
      </x:c>
      <x:c r="M16" t="n">
        <x:f>--(OR(I16=1,J16=1,K16=1,L16=1))</x:f>
        <x:v>0</x:v>
      </x:c>
    </x:row>
    <x:row r="17">
      <x:c r="A17" t="n">
        <x:f>'00 Compact View'!A17</x:f>
        <x:v>1</x:v>
      </x:c>
      <x:c r="B17" t="n">
        <x:f>'00 Compact View'!B17</x:f>
        <x:v>12</x:v>
      </x:c>
      <x:c r="C17" s="12" t="n">
        <x:f>SUM('00 Compact View'!H17:L17)/5</x:f>
        <x:v>0</x:v>
      </x:c>
      <x:c r="D17" s="12" t="n">
        <x:f>SUM('00 Compact View'!M17:Q17)/5</x:f>
        <x:v>0</x:v>
      </x:c>
      <x:c r="E17" s="12" t="n">
        <x:f>'00 Compact View'!R17</x:f>
        <x:v>0</x:v>
      </x:c>
      <x:c r="F17" s="12" t="n">
        <x:f>'00 Compact View'!T17</x:f>
        <x:v>0</x:v>
      </x:c>
      <x:c r="G17" s="12" t="n">
        <x:f>'04 Resource Body'!$B$10</x:f>
        <x:v>0</x:v>
      </x:c>
      <x:c r="H17" t="n">
        <x:f>--(M17=0)</x:f>
        <x:v>1</x:v>
      </x:c>
      <x:c r="I17" t="n">
        <x:f>--(MIN(1,C17+D17+(E17*'03 Mind Knobs'!$B$17)+(F17*'03 Mind Knobs'!$B$18)+('03 Mind Knobs'!$B$7*F17))&gt;=MAX(0.15,0.35+(G17*'03 Mind Knobs'!$B$10)-('03 Mind Knobs'!$B$13*0.15)))</x:f>
        <x:v>0</x:v>
      </x:c>
      <x:c r="J17" t="n">
        <x:f>--(MIN(1,C17+D17+(E17*'03 Mind Knobs'!$B$17)+(F17*'03 Mind Knobs'!$B$18)+('03 Mind Knobs'!$B$7*F17))&gt;=MIN(0.95,'03 Mind Knobs'!$B$19+(G17*'03 Mind Knobs'!$B$10)-('03 Mind Knobs'!$B$13*0.10)))</x:f>
        <x:v>0</x:v>
      </x:c>
      <x:c r="K17" t="n">
        <x:f>--(AND(J17=1,OR(E17=1,F17=1)))</x:f>
        <x:v>0</x:v>
      </x:c>
      <x:c r="L17" t="n">
        <x:f>--(MAX(SUMIFS('00 Compact View'!$H$6:$H$205,'00 Compact View'!$A$6:$A$205,A17,'00 Compact View'!$B$6:$B$205,"&gt;="&amp;B17-'03 Mind Knobs'!$B$16+1,'00 Compact View'!$B$6:$B$205,"&lt;="&amp;B17),SUMIFS('00 Compact View'!$I$6:$I$205,'00 Compact View'!$A$6:$A$205,A17,'00 Compact View'!$B$6:$B$205,"&gt;="&amp;B17-'03 Mind Knobs'!$B$16+1,'00 Compact View'!$B$6:$B$205,"&lt;="&amp;B17),SUMIFS('00 Compact View'!$J$6:$J$205,'00 Compact View'!$A$6:$A$205,A17,'00 Compact View'!$B$6:$B$205,"&gt;="&amp;B17-'03 Mind Knobs'!$B$16+1,'00 Compact View'!$B$6:$B$205,"&lt;="&amp;B17),SUMIFS('00 Compact View'!$K$6:$K$205,'00 Compact View'!$A$6:$A$205,A17,'00 Compact View'!$B$6:$B$205,"&gt;="&amp;B17-'03 Mind Knobs'!$B$16+1,'00 Compact View'!$B$6:$B$205,"&lt;="&amp;B17),SUMIFS('00 Compact View'!$L$6:$L$205,'00 Compact View'!$A$6:$A$205,A17,'00 Compact View'!$B$6:$B$205,"&gt;="&amp;B17-'03 Mind Knobs'!$B$16+1,'00 Compact View'!$B$6:$B$205,"&lt;="&amp;B17))&gt;=MAX(1,ROUNDUP('03 Mind Knobs'!$B$16*(1-'03 Mind Knobs'!$B$8),0)))</x:f>
        <x:v>0</x:v>
      </x:c>
      <x:c r="M17" t="n">
        <x:f>--(OR(I17=1,J17=1,K17=1,L17=1))</x:f>
        <x:v>0</x:v>
      </x:c>
    </x:row>
    <x:row r="18">
      <x:c r="A18" t="n">
        <x:f>'00 Compact View'!A18</x:f>
        <x:v>1</x:v>
      </x:c>
      <x:c r="B18" t="n">
        <x:f>'00 Compact View'!B18</x:f>
        <x:v>13</x:v>
      </x:c>
      <x:c r="C18" s="12" t="n">
        <x:f>SUM('00 Compact View'!H18:L18)/5</x:f>
        <x:v>0</x:v>
      </x:c>
      <x:c r="D18" s="12" t="n">
        <x:f>SUM('00 Compact View'!M18:Q18)/5</x:f>
        <x:v>0</x:v>
      </x:c>
      <x:c r="E18" s="12" t="n">
        <x:f>'00 Compact View'!R18</x:f>
        <x:v>0</x:v>
      </x:c>
      <x:c r="F18" s="12" t="n">
        <x:f>'00 Compact View'!T18</x:f>
        <x:v>0</x:v>
      </x:c>
      <x:c r="G18" s="12" t="n">
        <x:f>'04 Resource Body'!$B$10</x:f>
        <x:v>0</x:v>
      </x:c>
      <x:c r="H18" t="n">
        <x:f>--(M18=0)</x:f>
        <x:v>1</x:v>
      </x:c>
      <x:c r="I18" t="n">
        <x:f>--(MIN(1,C18+D18+(E18*'03 Mind Knobs'!$B$17)+(F18*'03 Mind Knobs'!$B$18)+('03 Mind Knobs'!$B$7*F18))&gt;=MAX(0.15,0.35+(G18*'03 Mind Knobs'!$B$10)-('03 Mind Knobs'!$B$13*0.15)))</x:f>
        <x:v>0</x:v>
      </x:c>
      <x:c r="J18" t="n">
        <x:f>--(MIN(1,C18+D18+(E18*'03 Mind Knobs'!$B$17)+(F18*'03 Mind Knobs'!$B$18)+('03 Mind Knobs'!$B$7*F18))&gt;=MIN(0.95,'03 Mind Knobs'!$B$19+(G18*'03 Mind Knobs'!$B$10)-('03 Mind Knobs'!$B$13*0.10)))</x:f>
        <x:v>0</x:v>
      </x:c>
      <x:c r="K18" t="n">
        <x:f>--(AND(J18=1,OR(E18=1,F18=1)))</x:f>
        <x:v>0</x:v>
      </x:c>
      <x:c r="L18" t="n">
        <x:f>--(MAX(SUMIFS('00 Compact View'!$H$6:$H$205,'00 Compact View'!$A$6:$A$205,A18,'00 Compact View'!$B$6:$B$205,"&gt;="&amp;B18-'03 Mind Knobs'!$B$16+1,'00 Compact View'!$B$6:$B$205,"&lt;="&amp;B18),SUMIFS('00 Compact View'!$I$6:$I$205,'00 Compact View'!$A$6:$A$205,A18,'00 Compact View'!$B$6:$B$205,"&gt;="&amp;B18-'03 Mind Knobs'!$B$16+1,'00 Compact View'!$B$6:$B$205,"&lt;="&amp;B18),SUMIFS('00 Compact View'!$J$6:$J$205,'00 Compact View'!$A$6:$A$205,A18,'00 Compact View'!$B$6:$B$205,"&gt;="&amp;B18-'03 Mind Knobs'!$B$16+1,'00 Compact View'!$B$6:$B$205,"&lt;="&amp;B18),SUMIFS('00 Compact View'!$K$6:$K$205,'00 Compact View'!$A$6:$A$205,A18,'00 Compact View'!$B$6:$B$205,"&gt;="&amp;B18-'03 Mind Knobs'!$B$16+1,'00 Compact View'!$B$6:$B$205,"&lt;="&amp;B18),SUMIFS('00 Compact View'!$L$6:$L$205,'00 Compact View'!$A$6:$A$205,A18,'00 Compact View'!$B$6:$B$205,"&gt;="&amp;B18-'03 Mind Knobs'!$B$16+1,'00 Compact View'!$B$6:$B$205,"&lt;="&amp;B18))&gt;=MAX(1,ROUNDUP('03 Mind Knobs'!$B$16*(1-'03 Mind Knobs'!$B$8),0)))</x:f>
        <x:v>0</x:v>
      </x:c>
      <x:c r="M18" t="n">
        <x:f>--(OR(I18=1,J18=1,K18=1,L18=1))</x:f>
        <x:v>0</x:v>
      </x:c>
    </x:row>
    <x:row r="19">
      <x:c r="A19" t="n">
        <x:f>'00 Compact View'!A19</x:f>
        <x:v>1</x:v>
      </x:c>
      <x:c r="B19" t="n">
        <x:f>'00 Compact View'!B19</x:f>
        <x:v>14</x:v>
      </x:c>
      <x:c r="C19" s="12" t="n">
        <x:f>SUM('00 Compact View'!H19:L19)/5</x:f>
        <x:v>0</x:v>
      </x:c>
      <x:c r="D19" s="12" t="n">
        <x:f>SUM('00 Compact View'!M19:Q19)/5</x:f>
        <x:v>0</x:v>
      </x:c>
      <x:c r="E19" s="12" t="n">
        <x:f>'00 Compact View'!R19</x:f>
        <x:v>0</x:v>
      </x:c>
      <x:c r="F19" s="12" t="n">
        <x:f>'00 Compact View'!T19</x:f>
        <x:v>0</x:v>
      </x:c>
      <x:c r="G19" s="12" t="n">
        <x:f>'04 Resource Body'!$B$10</x:f>
        <x:v>0</x:v>
      </x:c>
      <x:c r="H19" t="n">
        <x:f>--(M19=0)</x:f>
        <x:v>1</x:v>
      </x:c>
      <x:c r="I19" t="n">
        <x:f>--(MIN(1,C19+D19+(E19*'03 Mind Knobs'!$B$17)+(F19*'03 Mind Knobs'!$B$18)+('03 Mind Knobs'!$B$7*F19))&gt;=MAX(0.15,0.35+(G19*'03 Mind Knobs'!$B$10)-('03 Mind Knobs'!$B$13*0.15)))</x:f>
        <x:v>0</x:v>
      </x:c>
      <x:c r="J19" t="n">
        <x:f>--(MIN(1,C19+D19+(E19*'03 Mind Knobs'!$B$17)+(F19*'03 Mind Knobs'!$B$18)+('03 Mind Knobs'!$B$7*F19))&gt;=MIN(0.95,'03 Mind Knobs'!$B$19+(G19*'03 Mind Knobs'!$B$10)-('03 Mind Knobs'!$B$13*0.10)))</x:f>
        <x:v>0</x:v>
      </x:c>
      <x:c r="K19" t="n">
        <x:f>--(AND(J19=1,OR(E19=1,F19=1)))</x:f>
        <x:v>0</x:v>
      </x:c>
      <x:c r="L19" t="n">
        <x:f>--(MAX(SUMIFS('00 Compact View'!$H$6:$H$205,'00 Compact View'!$A$6:$A$205,A19,'00 Compact View'!$B$6:$B$205,"&gt;="&amp;B19-'03 Mind Knobs'!$B$16+1,'00 Compact View'!$B$6:$B$205,"&lt;="&amp;B19),SUMIFS('00 Compact View'!$I$6:$I$205,'00 Compact View'!$A$6:$A$205,A19,'00 Compact View'!$B$6:$B$205,"&gt;="&amp;B19-'03 Mind Knobs'!$B$16+1,'00 Compact View'!$B$6:$B$205,"&lt;="&amp;B19),SUMIFS('00 Compact View'!$J$6:$J$205,'00 Compact View'!$A$6:$A$205,A19,'00 Compact View'!$B$6:$B$205,"&gt;="&amp;B19-'03 Mind Knobs'!$B$16+1,'00 Compact View'!$B$6:$B$205,"&lt;="&amp;B19),SUMIFS('00 Compact View'!$K$6:$K$205,'00 Compact View'!$A$6:$A$205,A19,'00 Compact View'!$B$6:$B$205,"&gt;="&amp;B19-'03 Mind Knobs'!$B$16+1,'00 Compact View'!$B$6:$B$205,"&lt;="&amp;B19),SUMIFS('00 Compact View'!$L$6:$L$205,'00 Compact View'!$A$6:$A$205,A19,'00 Compact View'!$B$6:$B$205,"&gt;="&amp;B19-'03 Mind Knobs'!$B$16+1,'00 Compact View'!$B$6:$B$205,"&lt;="&amp;B19))&gt;=MAX(1,ROUNDUP('03 Mind Knobs'!$B$16*(1-'03 Mind Knobs'!$B$8),0)))</x:f>
        <x:v>0</x:v>
      </x:c>
      <x:c r="M19" t="n">
        <x:f>--(OR(I19=1,J19=1,K19=1,L19=1))</x:f>
        <x:v>0</x:v>
      </x:c>
    </x:row>
    <x:row r="20">
      <x:c r="A20" t="n">
        <x:f>'00 Compact View'!A20</x:f>
        <x:v>1</x:v>
      </x:c>
      <x:c r="B20" t="n">
        <x:f>'00 Compact View'!B20</x:f>
        <x:v>15</x:v>
      </x:c>
      <x:c r="C20" s="12" t="n">
        <x:f>SUM('00 Compact View'!H20:L20)/5</x:f>
        <x:v>0</x:v>
      </x:c>
      <x:c r="D20" s="12" t="n">
        <x:f>SUM('00 Compact View'!M20:Q20)/5</x:f>
        <x:v>0</x:v>
      </x:c>
      <x:c r="E20" s="12" t="n">
        <x:f>'00 Compact View'!R20</x:f>
        <x:v>0</x:v>
      </x:c>
      <x:c r="F20" s="12" t="n">
        <x:f>'00 Compact View'!T20</x:f>
        <x:v>0</x:v>
      </x:c>
      <x:c r="G20" s="12" t="n">
        <x:f>'04 Resource Body'!$B$10</x:f>
        <x:v>0</x:v>
      </x:c>
      <x:c r="H20" t="n">
        <x:f>--(M20=0)</x:f>
        <x:v>1</x:v>
      </x:c>
      <x:c r="I20" t="n">
        <x:f>--(MIN(1,C20+D20+(E20*'03 Mind Knobs'!$B$17)+(F20*'03 Mind Knobs'!$B$18)+('03 Mind Knobs'!$B$7*F20))&gt;=MAX(0.15,0.35+(G20*'03 Mind Knobs'!$B$10)-('03 Mind Knobs'!$B$13*0.15)))</x:f>
        <x:v>0</x:v>
      </x:c>
      <x:c r="J20" t="n">
        <x:f>--(MIN(1,C20+D20+(E20*'03 Mind Knobs'!$B$17)+(F20*'03 Mind Knobs'!$B$18)+('03 Mind Knobs'!$B$7*F20))&gt;=MIN(0.95,'03 Mind Knobs'!$B$19+(G20*'03 Mind Knobs'!$B$10)-('03 Mind Knobs'!$B$13*0.10)))</x:f>
        <x:v>0</x:v>
      </x:c>
      <x:c r="K20" t="n">
        <x:f>--(AND(J20=1,OR(E20=1,F20=1)))</x:f>
        <x:v>0</x:v>
      </x:c>
      <x:c r="L20" t="n">
        <x:f>--(MAX(SUMIFS('00 Compact View'!$H$6:$H$205,'00 Compact View'!$A$6:$A$205,A20,'00 Compact View'!$B$6:$B$205,"&gt;="&amp;B20-'03 Mind Knobs'!$B$16+1,'00 Compact View'!$B$6:$B$205,"&lt;="&amp;B20),SUMIFS('00 Compact View'!$I$6:$I$205,'00 Compact View'!$A$6:$A$205,A20,'00 Compact View'!$B$6:$B$205,"&gt;="&amp;B20-'03 Mind Knobs'!$B$16+1,'00 Compact View'!$B$6:$B$205,"&lt;="&amp;B20),SUMIFS('00 Compact View'!$J$6:$J$205,'00 Compact View'!$A$6:$A$205,A20,'00 Compact View'!$B$6:$B$205,"&gt;="&amp;B20-'03 Mind Knobs'!$B$16+1,'00 Compact View'!$B$6:$B$205,"&lt;="&amp;B20),SUMIFS('00 Compact View'!$K$6:$K$205,'00 Compact View'!$A$6:$A$205,A20,'00 Compact View'!$B$6:$B$205,"&gt;="&amp;B20-'03 Mind Knobs'!$B$16+1,'00 Compact View'!$B$6:$B$205,"&lt;="&amp;B20),SUMIFS('00 Compact View'!$L$6:$L$205,'00 Compact View'!$A$6:$A$205,A20,'00 Compact View'!$B$6:$B$205,"&gt;="&amp;B20-'03 Mind Knobs'!$B$16+1,'00 Compact View'!$B$6:$B$205,"&lt;="&amp;B20))&gt;=MAX(1,ROUNDUP('03 Mind Knobs'!$B$16*(1-'03 Mind Knobs'!$B$8),0)))</x:f>
        <x:v>0</x:v>
      </x:c>
      <x:c r="M20" t="n">
        <x:f>--(OR(I20=1,J20=1,K20=1,L20=1))</x:f>
        <x:v>0</x:v>
      </x:c>
    </x:row>
    <x:row r="21">
      <x:c r="A21" t="n">
        <x:f>'00 Compact View'!A21</x:f>
        <x:v>1</x:v>
      </x:c>
      <x:c r="B21" t="n">
        <x:f>'00 Compact View'!B21</x:f>
        <x:v>16</x:v>
      </x:c>
      <x:c r="C21" s="12" t="n">
        <x:f>SUM('00 Compact View'!H21:L21)/5</x:f>
        <x:v>0</x:v>
      </x:c>
      <x:c r="D21" s="12" t="n">
        <x:f>SUM('00 Compact View'!M21:Q21)/5</x:f>
        <x:v>0</x:v>
      </x:c>
      <x:c r="E21" s="12" t="n">
        <x:f>'00 Compact View'!R21</x:f>
        <x:v>0</x:v>
      </x:c>
      <x:c r="F21" s="12" t="n">
        <x:f>'00 Compact View'!T21</x:f>
        <x:v>0</x:v>
      </x:c>
      <x:c r="G21" s="12" t="n">
        <x:f>'04 Resource Body'!$B$10</x:f>
        <x:v>0</x:v>
      </x:c>
      <x:c r="H21" t="n">
        <x:f>--(M21=0)</x:f>
        <x:v>1</x:v>
      </x:c>
      <x:c r="I21" t="n">
        <x:f>--(MIN(1,C21+D21+(E21*'03 Mind Knobs'!$B$17)+(F21*'03 Mind Knobs'!$B$18)+('03 Mind Knobs'!$B$7*F21))&gt;=MAX(0.15,0.35+(G21*'03 Mind Knobs'!$B$10)-('03 Mind Knobs'!$B$13*0.15)))</x:f>
        <x:v>0</x:v>
      </x:c>
      <x:c r="J21" t="n">
        <x:f>--(MIN(1,C21+D21+(E21*'03 Mind Knobs'!$B$17)+(F21*'03 Mind Knobs'!$B$18)+('03 Mind Knobs'!$B$7*F21))&gt;=MIN(0.95,'03 Mind Knobs'!$B$19+(G21*'03 Mind Knobs'!$B$10)-('03 Mind Knobs'!$B$13*0.10)))</x:f>
        <x:v>0</x:v>
      </x:c>
      <x:c r="K21" t="n">
        <x:f>--(AND(J21=1,OR(E21=1,F21=1)))</x:f>
        <x:v>0</x:v>
      </x:c>
      <x:c r="L21" t="n">
        <x:f>--(MAX(SUMIFS('00 Compact View'!$H$6:$H$205,'00 Compact View'!$A$6:$A$205,A21,'00 Compact View'!$B$6:$B$205,"&gt;="&amp;B21-'03 Mind Knobs'!$B$16+1,'00 Compact View'!$B$6:$B$205,"&lt;="&amp;B21),SUMIFS('00 Compact View'!$I$6:$I$205,'00 Compact View'!$A$6:$A$205,A21,'00 Compact View'!$B$6:$B$205,"&gt;="&amp;B21-'03 Mind Knobs'!$B$16+1,'00 Compact View'!$B$6:$B$205,"&lt;="&amp;B21),SUMIFS('00 Compact View'!$J$6:$J$205,'00 Compact View'!$A$6:$A$205,A21,'00 Compact View'!$B$6:$B$205,"&gt;="&amp;B21-'03 Mind Knobs'!$B$16+1,'00 Compact View'!$B$6:$B$205,"&lt;="&amp;B21),SUMIFS('00 Compact View'!$K$6:$K$205,'00 Compact View'!$A$6:$A$205,A21,'00 Compact View'!$B$6:$B$205,"&gt;="&amp;B21-'03 Mind Knobs'!$B$16+1,'00 Compact View'!$B$6:$B$205,"&lt;="&amp;B21),SUMIFS('00 Compact View'!$L$6:$L$205,'00 Compact View'!$A$6:$A$205,A21,'00 Compact View'!$B$6:$B$205,"&gt;="&amp;B21-'03 Mind Knobs'!$B$16+1,'00 Compact View'!$B$6:$B$205,"&lt;="&amp;B21))&gt;=MAX(1,ROUNDUP('03 Mind Knobs'!$B$16*(1-'03 Mind Knobs'!$B$8),0)))</x:f>
        <x:v>0</x:v>
      </x:c>
      <x:c r="M21" t="n">
        <x:f>--(OR(I21=1,J21=1,K21=1,L21=1))</x:f>
        <x:v>0</x:v>
      </x:c>
    </x:row>
    <x:row r="22">
      <x:c r="A22" t="n">
        <x:f>'00 Compact View'!A22</x:f>
        <x:v>1</x:v>
      </x:c>
      <x:c r="B22" t="n">
        <x:f>'00 Compact View'!B22</x:f>
        <x:v>17</x:v>
      </x:c>
      <x:c r="C22" s="12" t="n">
        <x:f>SUM('00 Compact View'!H22:L22)/5</x:f>
        <x:v>0</x:v>
      </x:c>
      <x:c r="D22" s="12" t="n">
        <x:f>SUM('00 Compact View'!M22:Q22)/5</x:f>
        <x:v>0</x:v>
      </x:c>
      <x:c r="E22" s="12" t="n">
        <x:f>'00 Compact View'!R22</x:f>
        <x:v>0</x:v>
      </x:c>
      <x:c r="F22" s="12" t="n">
        <x:f>'00 Compact View'!T22</x:f>
        <x:v>0</x:v>
      </x:c>
      <x:c r="G22" s="12" t="n">
        <x:f>'04 Resource Body'!$B$10</x:f>
        <x:v>0</x:v>
      </x:c>
      <x:c r="H22" t="n">
        <x:f>--(M22=0)</x:f>
        <x:v>1</x:v>
      </x:c>
      <x:c r="I22" t="n">
        <x:f>--(MIN(1,C22+D22+(E22*'03 Mind Knobs'!$B$17)+(F22*'03 Mind Knobs'!$B$18)+('03 Mind Knobs'!$B$7*F22))&gt;=MAX(0.15,0.35+(G22*'03 Mind Knobs'!$B$10)-('03 Mind Knobs'!$B$13*0.15)))</x:f>
        <x:v>0</x:v>
      </x:c>
      <x:c r="J22" t="n">
        <x:f>--(MIN(1,C22+D22+(E22*'03 Mind Knobs'!$B$17)+(F22*'03 Mind Knobs'!$B$18)+('03 Mind Knobs'!$B$7*F22))&gt;=MIN(0.95,'03 Mind Knobs'!$B$19+(G22*'03 Mind Knobs'!$B$10)-('03 Mind Knobs'!$B$13*0.10)))</x:f>
        <x:v>0</x:v>
      </x:c>
      <x:c r="K22" t="n">
        <x:f>--(AND(J22=1,OR(E22=1,F22=1)))</x:f>
        <x:v>0</x:v>
      </x:c>
      <x:c r="L22" t="n">
        <x:f>--(MAX(SUMIFS('00 Compact View'!$H$6:$H$205,'00 Compact View'!$A$6:$A$205,A22,'00 Compact View'!$B$6:$B$205,"&gt;="&amp;B22-'03 Mind Knobs'!$B$16+1,'00 Compact View'!$B$6:$B$205,"&lt;="&amp;B22),SUMIFS('00 Compact View'!$I$6:$I$205,'00 Compact View'!$A$6:$A$205,A22,'00 Compact View'!$B$6:$B$205,"&gt;="&amp;B22-'03 Mind Knobs'!$B$16+1,'00 Compact View'!$B$6:$B$205,"&lt;="&amp;B22),SUMIFS('00 Compact View'!$J$6:$J$205,'00 Compact View'!$A$6:$A$205,A22,'00 Compact View'!$B$6:$B$205,"&gt;="&amp;B22-'03 Mind Knobs'!$B$16+1,'00 Compact View'!$B$6:$B$205,"&lt;="&amp;B22),SUMIFS('00 Compact View'!$K$6:$K$205,'00 Compact View'!$A$6:$A$205,A22,'00 Compact View'!$B$6:$B$205,"&gt;="&amp;B22-'03 Mind Knobs'!$B$16+1,'00 Compact View'!$B$6:$B$205,"&lt;="&amp;B22),SUMIFS('00 Compact View'!$L$6:$L$205,'00 Compact View'!$A$6:$A$205,A22,'00 Compact View'!$B$6:$B$205,"&gt;="&amp;B22-'03 Mind Knobs'!$B$16+1,'00 Compact View'!$B$6:$B$205,"&lt;="&amp;B22))&gt;=MAX(1,ROUNDUP('03 Mind Knobs'!$B$16*(1-'03 Mind Knobs'!$B$8),0)))</x:f>
        <x:v>0</x:v>
      </x:c>
      <x:c r="M22" t="n">
        <x:f>--(OR(I22=1,J22=1,K22=1,L22=1))</x:f>
        <x:v>0</x:v>
      </x:c>
    </x:row>
    <x:row r="23">
      <x:c r="A23" t="n">
        <x:f>'00 Compact View'!A23</x:f>
        <x:v>1</x:v>
      </x:c>
      <x:c r="B23" t="n">
        <x:f>'00 Compact View'!B23</x:f>
        <x:v>18</x:v>
      </x:c>
      <x:c r="C23" s="12" t="n">
        <x:f>SUM('00 Compact View'!H23:L23)/5</x:f>
        <x:v>0</x:v>
      </x:c>
      <x:c r="D23" s="12" t="n">
        <x:f>SUM('00 Compact View'!M23:Q23)/5</x:f>
        <x:v>0</x:v>
      </x:c>
      <x:c r="E23" s="12" t="n">
        <x:f>'00 Compact View'!R23</x:f>
        <x:v>0</x:v>
      </x:c>
      <x:c r="F23" s="12" t="n">
        <x:f>'00 Compact View'!T23</x:f>
        <x:v>0</x:v>
      </x:c>
      <x:c r="G23" s="12" t="n">
        <x:f>'04 Resource Body'!$B$10</x:f>
        <x:v>0</x:v>
      </x:c>
      <x:c r="H23" t="n">
        <x:f>--(M23=0)</x:f>
        <x:v>1</x:v>
      </x:c>
      <x:c r="I23" t="n">
        <x:f>--(MIN(1,C23+D23+(E23*'03 Mind Knobs'!$B$17)+(F23*'03 Mind Knobs'!$B$18)+('03 Mind Knobs'!$B$7*F23))&gt;=MAX(0.15,0.35+(G23*'03 Mind Knobs'!$B$10)-('03 Mind Knobs'!$B$13*0.15)))</x:f>
        <x:v>0</x:v>
      </x:c>
      <x:c r="J23" t="n">
        <x:f>--(MIN(1,C23+D23+(E23*'03 Mind Knobs'!$B$17)+(F23*'03 Mind Knobs'!$B$18)+('03 Mind Knobs'!$B$7*F23))&gt;=MIN(0.95,'03 Mind Knobs'!$B$19+(G23*'03 Mind Knobs'!$B$10)-('03 Mind Knobs'!$B$13*0.10)))</x:f>
        <x:v>0</x:v>
      </x:c>
      <x:c r="K23" t="n">
        <x:f>--(AND(J23=1,OR(E23=1,F23=1)))</x:f>
        <x:v>0</x:v>
      </x:c>
      <x:c r="L23" t="n">
        <x:f>--(MAX(SUMIFS('00 Compact View'!$H$6:$H$205,'00 Compact View'!$A$6:$A$205,A23,'00 Compact View'!$B$6:$B$205,"&gt;="&amp;B23-'03 Mind Knobs'!$B$16+1,'00 Compact View'!$B$6:$B$205,"&lt;="&amp;B23),SUMIFS('00 Compact View'!$I$6:$I$205,'00 Compact View'!$A$6:$A$205,A23,'00 Compact View'!$B$6:$B$205,"&gt;="&amp;B23-'03 Mind Knobs'!$B$16+1,'00 Compact View'!$B$6:$B$205,"&lt;="&amp;B23),SUMIFS('00 Compact View'!$J$6:$J$205,'00 Compact View'!$A$6:$A$205,A23,'00 Compact View'!$B$6:$B$205,"&gt;="&amp;B23-'03 Mind Knobs'!$B$16+1,'00 Compact View'!$B$6:$B$205,"&lt;="&amp;B23),SUMIFS('00 Compact View'!$K$6:$K$205,'00 Compact View'!$A$6:$A$205,A23,'00 Compact View'!$B$6:$B$205,"&gt;="&amp;B23-'03 Mind Knobs'!$B$16+1,'00 Compact View'!$B$6:$B$205,"&lt;="&amp;B23),SUMIFS('00 Compact View'!$L$6:$L$205,'00 Compact View'!$A$6:$A$205,A23,'00 Compact View'!$B$6:$B$205,"&gt;="&amp;B23-'03 Mind Knobs'!$B$16+1,'00 Compact View'!$B$6:$B$205,"&lt;="&amp;B23))&gt;=MAX(1,ROUNDUP('03 Mind Knobs'!$B$16*(1-'03 Mind Knobs'!$B$8),0)))</x:f>
        <x:v>0</x:v>
      </x:c>
      <x:c r="M23" t="n">
        <x:f>--(OR(I23=1,J23=1,K23=1,L23=1))</x:f>
        <x:v>0</x:v>
      </x:c>
    </x:row>
    <x:row r="24">
      <x:c r="A24" t="n">
        <x:f>'00 Compact View'!A24</x:f>
        <x:v>1</x:v>
      </x:c>
      <x:c r="B24" t="n">
        <x:f>'00 Compact View'!B24</x:f>
        <x:v>19</x:v>
      </x:c>
      <x:c r="C24" s="12" t="n">
        <x:f>SUM('00 Compact View'!H24:L24)/5</x:f>
        <x:v>0</x:v>
      </x:c>
      <x:c r="D24" s="12" t="n">
        <x:f>SUM('00 Compact View'!M24:Q24)/5</x:f>
        <x:v>0</x:v>
      </x:c>
      <x:c r="E24" s="12" t="n">
        <x:f>'00 Compact View'!R24</x:f>
        <x:v>0</x:v>
      </x:c>
      <x:c r="F24" s="12" t="n">
        <x:f>'00 Compact View'!T24</x:f>
        <x:v>0</x:v>
      </x:c>
      <x:c r="G24" s="12" t="n">
        <x:f>'04 Resource Body'!$B$10</x:f>
        <x:v>0</x:v>
      </x:c>
      <x:c r="H24" t="n">
        <x:f>--(M24=0)</x:f>
        <x:v>1</x:v>
      </x:c>
      <x:c r="I24" t="n">
        <x:f>--(MIN(1,C24+D24+(E24*'03 Mind Knobs'!$B$17)+(F24*'03 Mind Knobs'!$B$18)+('03 Mind Knobs'!$B$7*F24))&gt;=MAX(0.15,0.35+(G24*'03 Mind Knobs'!$B$10)-('03 Mind Knobs'!$B$13*0.15)))</x:f>
        <x:v>0</x:v>
      </x:c>
      <x:c r="J24" t="n">
        <x:f>--(MIN(1,C24+D24+(E24*'03 Mind Knobs'!$B$17)+(F24*'03 Mind Knobs'!$B$18)+('03 Mind Knobs'!$B$7*F24))&gt;=MIN(0.95,'03 Mind Knobs'!$B$19+(G24*'03 Mind Knobs'!$B$10)-('03 Mind Knobs'!$B$13*0.10)))</x:f>
        <x:v>0</x:v>
      </x:c>
      <x:c r="K24" t="n">
        <x:f>--(AND(J24=1,OR(E24=1,F24=1)))</x:f>
        <x:v>0</x:v>
      </x:c>
      <x:c r="L24" t="n">
        <x:f>--(MAX(SUMIFS('00 Compact View'!$H$6:$H$205,'00 Compact View'!$A$6:$A$205,A24,'00 Compact View'!$B$6:$B$205,"&gt;="&amp;B24-'03 Mind Knobs'!$B$16+1,'00 Compact View'!$B$6:$B$205,"&lt;="&amp;B24),SUMIFS('00 Compact View'!$I$6:$I$205,'00 Compact View'!$A$6:$A$205,A24,'00 Compact View'!$B$6:$B$205,"&gt;="&amp;B24-'03 Mind Knobs'!$B$16+1,'00 Compact View'!$B$6:$B$205,"&lt;="&amp;B24),SUMIFS('00 Compact View'!$J$6:$J$205,'00 Compact View'!$A$6:$A$205,A24,'00 Compact View'!$B$6:$B$205,"&gt;="&amp;B24-'03 Mind Knobs'!$B$16+1,'00 Compact View'!$B$6:$B$205,"&lt;="&amp;B24),SUMIFS('00 Compact View'!$K$6:$K$205,'00 Compact View'!$A$6:$A$205,A24,'00 Compact View'!$B$6:$B$205,"&gt;="&amp;B24-'03 Mind Knobs'!$B$16+1,'00 Compact View'!$B$6:$B$205,"&lt;="&amp;B24),SUMIFS('00 Compact View'!$L$6:$L$205,'00 Compact View'!$A$6:$A$205,A24,'00 Compact View'!$B$6:$B$205,"&gt;="&amp;B24-'03 Mind Knobs'!$B$16+1,'00 Compact View'!$B$6:$B$205,"&lt;="&amp;B24))&gt;=MAX(1,ROUNDUP('03 Mind Knobs'!$B$16*(1-'03 Mind Knobs'!$B$8),0)))</x:f>
        <x:v>0</x:v>
      </x:c>
      <x:c r="M24" t="n">
        <x:f>--(OR(I24=1,J24=1,K24=1,L24=1))</x:f>
        <x:v>0</x:v>
      </x:c>
    </x:row>
    <x:row r="25">
      <x:c r="A25" t="n">
        <x:f>'00 Compact View'!A25</x:f>
        <x:v>1</x:v>
      </x:c>
      <x:c r="B25" t="n">
        <x:f>'00 Compact View'!B25</x:f>
        <x:v>20</x:v>
      </x:c>
      <x:c r="C25" s="12" t="n">
        <x:f>SUM('00 Compact View'!H25:L25)/5</x:f>
        <x:v>0</x:v>
      </x:c>
      <x:c r="D25" s="12" t="n">
        <x:f>SUM('00 Compact View'!M25:Q25)/5</x:f>
        <x:v>0</x:v>
      </x:c>
      <x:c r="E25" s="12" t="n">
        <x:f>'00 Compact View'!R25</x:f>
        <x:v>0</x:v>
      </x:c>
      <x:c r="F25" s="12" t="n">
        <x:f>'00 Compact View'!T25</x:f>
        <x:v>0</x:v>
      </x:c>
      <x:c r="G25" s="12" t="n">
        <x:f>'04 Resource Body'!$B$10</x:f>
        <x:v>0</x:v>
      </x:c>
      <x:c r="H25" t="n">
        <x:f>--(M25=0)</x:f>
        <x:v>1</x:v>
      </x:c>
      <x:c r="I25" t="n">
        <x:f>--(MIN(1,C25+D25+(E25*'03 Mind Knobs'!$B$17)+(F25*'03 Mind Knobs'!$B$18)+('03 Mind Knobs'!$B$7*F25))&gt;=MAX(0.15,0.35+(G25*'03 Mind Knobs'!$B$10)-('03 Mind Knobs'!$B$13*0.15)))</x:f>
        <x:v>0</x:v>
      </x:c>
      <x:c r="J25" t="n">
        <x:f>--(MIN(1,C25+D25+(E25*'03 Mind Knobs'!$B$17)+(F25*'03 Mind Knobs'!$B$18)+('03 Mind Knobs'!$B$7*F25))&gt;=MIN(0.95,'03 Mind Knobs'!$B$19+(G25*'03 Mind Knobs'!$B$10)-('03 Mind Knobs'!$B$13*0.10)))</x:f>
        <x:v>0</x:v>
      </x:c>
      <x:c r="K25" t="n">
        <x:f>--(AND(J25=1,OR(E25=1,F25=1)))</x:f>
        <x:v>0</x:v>
      </x:c>
      <x:c r="L25" t="n">
        <x:f>--(MAX(SUMIFS('00 Compact View'!$H$6:$H$205,'00 Compact View'!$A$6:$A$205,A25,'00 Compact View'!$B$6:$B$205,"&gt;="&amp;B25-'03 Mind Knobs'!$B$16+1,'00 Compact View'!$B$6:$B$205,"&lt;="&amp;B25),SUMIFS('00 Compact View'!$I$6:$I$205,'00 Compact View'!$A$6:$A$205,A25,'00 Compact View'!$B$6:$B$205,"&gt;="&amp;B25-'03 Mind Knobs'!$B$16+1,'00 Compact View'!$B$6:$B$205,"&lt;="&amp;B25),SUMIFS('00 Compact View'!$J$6:$J$205,'00 Compact View'!$A$6:$A$205,A25,'00 Compact View'!$B$6:$B$205,"&gt;="&amp;B25-'03 Mind Knobs'!$B$16+1,'00 Compact View'!$B$6:$B$205,"&lt;="&amp;B25),SUMIFS('00 Compact View'!$K$6:$K$205,'00 Compact View'!$A$6:$A$205,A25,'00 Compact View'!$B$6:$B$205,"&gt;="&amp;B25-'03 Mind Knobs'!$B$16+1,'00 Compact View'!$B$6:$B$205,"&lt;="&amp;B25),SUMIFS('00 Compact View'!$L$6:$L$205,'00 Compact View'!$A$6:$A$205,A25,'00 Compact View'!$B$6:$B$205,"&gt;="&amp;B25-'03 Mind Knobs'!$B$16+1,'00 Compact View'!$B$6:$B$205,"&lt;="&amp;B25))&gt;=MAX(1,ROUNDUP('03 Mind Knobs'!$B$16*(1-'03 Mind Knobs'!$B$8),0)))</x:f>
        <x:v>0</x:v>
      </x:c>
      <x:c r="M25" t="n">
        <x:f>--(OR(I25=1,J25=1,K25=1,L25=1))</x:f>
        <x:v>0</x:v>
      </x:c>
    </x:row>
    <x:row r="26">
      <x:c r="A26" t="n">
        <x:f>'00 Compact View'!A26</x:f>
        <x:v>2</x:v>
      </x:c>
      <x:c r="B26" t="n">
        <x:f>'00 Compact View'!B26</x:f>
        <x:v>1</x:v>
      </x:c>
      <x:c r="C26" s="12" t="n">
        <x:f>SUM('00 Compact View'!H26:L26)/5</x:f>
        <x:v>0</x:v>
      </x:c>
      <x:c r="D26" s="12" t="n">
        <x:f>SUM('00 Compact View'!M26:Q26)/5</x:f>
        <x:v>0</x:v>
      </x:c>
      <x:c r="E26" s="12" t="n">
        <x:f>'00 Compact View'!R26</x:f>
        <x:v>0</x:v>
      </x:c>
      <x:c r="F26" s="12" t="n">
        <x:f>'00 Compact View'!T26</x:f>
        <x:v>0</x:v>
      </x:c>
      <x:c r="G26" s="12" t="n">
        <x:f>'04 Resource Body'!$B$10</x:f>
        <x:v>0</x:v>
      </x:c>
      <x:c r="H26" t="n">
        <x:f>--(M26=0)</x:f>
        <x:v>1</x:v>
      </x:c>
      <x:c r="I26" t="n">
        <x:f>--(MIN(1,C26+D26+(E26*'03 Mind Knobs'!$B$17)+(F26*'03 Mind Knobs'!$B$18)+('03 Mind Knobs'!$B$7*F26))&gt;=MAX(0.15,0.35+(G26*'03 Mind Knobs'!$B$10)-('03 Mind Knobs'!$B$13*0.15)))</x:f>
        <x:v>0</x:v>
      </x:c>
      <x:c r="J26" t="n">
        <x:f>--(MIN(1,C26+D26+(E26*'03 Mind Knobs'!$B$17)+(F26*'03 Mind Knobs'!$B$18)+('03 Mind Knobs'!$B$7*F26))&gt;=MIN(0.95,'03 Mind Knobs'!$B$19+(G26*'03 Mind Knobs'!$B$10)-('03 Mind Knobs'!$B$13*0.10)))</x:f>
        <x:v>0</x:v>
      </x:c>
      <x:c r="K26" t="n">
        <x:f>--(AND(J26=1,OR(E26=1,F26=1)))</x:f>
        <x:v>0</x:v>
      </x:c>
      <x:c r="L26" t="n">
        <x:f>--(MAX(SUMIFS('00 Compact View'!$H$6:$H$205,'00 Compact View'!$A$6:$A$205,A26,'00 Compact View'!$B$6:$B$205,"&gt;="&amp;B26-'03 Mind Knobs'!$B$16+1,'00 Compact View'!$B$6:$B$205,"&lt;="&amp;B26),SUMIFS('00 Compact View'!$I$6:$I$205,'00 Compact View'!$A$6:$A$205,A26,'00 Compact View'!$B$6:$B$205,"&gt;="&amp;B26-'03 Mind Knobs'!$B$16+1,'00 Compact View'!$B$6:$B$205,"&lt;="&amp;B26),SUMIFS('00 Compact View'!$J$6:$J$205,'00 Compact View'!$A$6:$A$205,A26,'00 Compact View'!$B$6:$B$205,"&gt;="&amp;B26-'03 Mind Knobs'!$B$16+1,'00 Compact View'!$B$6:$B$205,"&lt;="&amp;B26),SUMIFS('00 Compact View'!$K$6:$K$205,'00 Compact View'!$A$6:$A$205,A26,'00 Compact View'!$B$6:$B$205,"&gt;="&amp;B26-'03 Mind Knobs'!$B$16+1,'00 Compact View'!$B$6:$B$205,"&lt;="&amp;B26),SUMIFS('00 Compact View'!$L$6:$L$205,'00 Compact View'!$A$6:$A$205,A26,'00 Compact View'!$B$6:$B$205,"&gt;="&amp;B26-'03 Mind Knobs'!$B$16+1,'00 Compact View'!$B$6:$B$205,"&lt;="&amp;B26))&gt;=MAX(1,ROUNDUP('03 Mind Knobs'!$B$16*(1-'03 Mind Knobs'!$B$8),0)))</x:f>
        <x:v>0</x:v>
      </x:c>
      <x:c r="M26" t="n">
        <x:f>--(OR(I26=1,J26=1,K26=1,L26=1))</x:f>
        <x:v>0</x:v>
      </x:c>
    </x:row>
    <x:row r="27">
      <x:c r="A27" t="n">
        <x:f>'00 Compact View'!A27</x:f>
        <x:v>2</x:v>
      </x:c>
      <x:c r="B27" t="n">
        <x:f>'00 Compact View'!B27</x:f>
        <x:v>2</x:v>
      </x:c>
      <x:c r="C27" s="12" t="n">
        <x:f>SUM('00 Compact View'!H27:L27)/5</x:f>
        <x:v>0</x:v>
      </x:c>
      <x:c r="D27" s="12" t="n">
        <x:f>SUM('00 Compact View'!M27:Q27)/5</x:f>
        <x:v>0</x:v>
      </x:c>
      <x:c r="E27" s="12" t="n">
        <x:f>'00 Compact View'!R27</x:f>
        <x:v>0</x:v>
      </x:c>
      <x:c r="F27" s="12" t="n">
        <x:f>'00 Compact View'!T27</x:f>
        <x:v>0</x:v>
      </x:c>
      <x:c r="G27" s="12" t="n">
        <x:f>'04 Resource Body'!$B$10</x:f>
        <x:v>0</x:v>
      </x:c>
      <x:c r="H27" t="n">
        <x:f>--(M27=0)</x:f>
        <x:v>1</x:v>
      </x:c>
      <x:c r="I27" t="n">
        <x:f>--(MIN(1,C27+D27+(E27*'03 Mind Knobs'!$B$17)+(F27*'03 Mind Knobs'!$B$18)+('03 Mind Knobs'!$B$7*F27))&gt;=MAX(0.15,0.35+(G27*'03 Mind Knobs'!$B$10)-('03 Mind Knobs'!$B$13*0.15)))</x:f>
        <x:v>0</x:v>
      </x:c>
      <x:c r="J27" t="n">
        <x:f>--(MIN(1,C27+D27+(E27*'03 Mind Knobs'!$B$17)+(F27*'03 Mind Knobs'!$B$18)+('03 Mind Knobs'!$B$7*F27))&gt;=MIN(0.95,'03 Mind Knobs'!$B$19+(G27*'03 Mind Knobs'!$B$10)-('03 Mind Knobs'!$B$13*0.10)))</x:f>
        <x:v>0</x:v>
      </x:c>
      <x:c r="K27" t="n">
        <x:f>--(AND(J27=1,OR(E27=1,F27=1)))</x:f>
        <x:v>0</x:v>
      </x:c>
      <x:c r="L27" t="n">
        <x:f>--(MAX(SUMIFS('00 Compact View'!$H$6:$H$205,'00 Compact View'!$A$6:$A$205,A27,'00 Compact View'!$B$6:$B$205,"&gt;="&amp;B27-'03 Mind Knobs'!$B$16+1,'00 Compact View'!$B$6:$B$205,"&lt;="&amp;B27),SUMIFS('00 Compact View'!$I$6:$I$205,'00 Compact View'!$A$6:$A$205,A27,'00 Compact View'!$B$6:$B$205,"&gt;="&amp;B27-'03 Mind Knobs'!$B$16+1,'00 Compact View'!$B$6:$B$205,"&lt;="&amp;B27),SUMIFS('00 Compact View'!$J$6:$J$205,'00 Compact View'!$A$6:$A$205,A27,'00 Compact View'!$B$6:$B$205,"&gt;="&amp;B27-'03 Mind Knobs'!$B$16+1,'00 Compact View'!$B$6:$B$205,"&lt;="&amp;B27),SUMIFS('00 Compact View'!$K$6:$K$205,'00 Compact View'!$A$6:$A$205,A27,'00 Compact View'!$B$6:$B$205,"&gt;="&amp;B27-'03 Mind Knobs'!$B$16+1,'00 Compact View'!$B$6:$B$205,"&lt;="&amp;B27),SUMIFS('00 Compact View'!$L$6:$L$205,'00 Compact View'!$A$6:$A$205,A27,'00 Compact View'!$B$6:$B$205,"&gt;="&amp;B27-'03 Mind Knobs'!$B$16+1,'00 Compact View'!$B$6:$B$205,"&lt;="&amp;B27))&gt;=MAX(1,ROUNDUP('03 Mind Knobs'!$B$16*(1-'03 Mind Knobs'!$B$8),0)))</x:f>
        <x:v>0</x:v>
      </x:c>
      <x:c r="M27" t="n">
        <x:f>--(OR(I27=1,J27=1,K27=1,L27=1))</x:f>
        <x:v>0</x:v>
      </x:c>
    </x:row>
    <x:row r="28">
      <x:c r="A28" t="n">
        <x:f>'00 Compact View'!A28</x:f>
        <x:v>2</x:v>
      </x:c>
      <x:c r="B28" t="n">
        <x:f>'00 Compact View'!B28</x:f>
        <x:v>3</x:v>
      </x:c>
      <x:c r="C28" s="12" t="n">
        <x:f>SUM('00 Compact View'!H28:L28)/5</x:f>
        <x:v>0</x:v>
      </x:c>
      <x:c r="D28" s="12" t="n">
        <x:f>SUM('00 Compact View'!M28:Q28)/5</x:f>
        <x:v>0</x:v>
      </x:c>
      <x:c r="E28" s="12" t="n">
        <x:f>'00 Compact View'!R28</x:f>
        <x:v>0</x:v>
      </x:c>
      <x:c r="F28" s="12" t="n">
        <x:f>'00 Compact View'!T28</x:f>
        <x:v>0</x:v>
      </x:c>
      <x:c r="G28" s="12" t="n">
        <x:f>'04 Resource Body'!$B$10</x:f>
        <x:v>0</x:v>
      </x:c>
      <x:c r="H28" t="n">
        <x:f>--(M28=0)</x:f>
        <x:v>1</x:v>
      </x:c>
      <x:c r="I28" t="n">
        <x:f>--(MIN(1,C28+D28+(E28*'03 Mind Knobs'!$B$17)+(F28*'03 Mind Knobs'!$B$18)+('03 Mind Knobs'!$B$7*F28))&gt;=MAX(0.15,0.35+(G28*'03 Mind Knobs'!$B$10)-('03 Mind Knobs'!$B$13*0.15)))</x:f>
        <x:v>0</x:v>
      </x:c>
      <x:c r="J28" t="n">
        <x:f>--(MIN(1,C28+D28+(E28*'03 Mind Knobs'!$B$17)+(F28*'03 Mind Knobs'!$B$18)+('03 Mind Knobs'!$B$7*F28))&gt;=MIN(0.95,'03 Mind Knobs'!$B$19+(G28*'03 Mind Knobs'!$B$10)-('03 Mind Knobs'!$B$13*0.10)))</x:f>
        <x:v>0</x:v>
      </x:c>
      <x:c r="K28" t="n">
        <x:f>--(AND(J28=1,OR(E28=1,F28=1)))</x:f>
        <x:v>0</x:v>
      </x:c>
      <x:c r="L28" t="n">
        <x:f>--(MAX(SUMIFS('00 Compact View'!$H$6:$H$205,'00 Compact View'!$A$6:$A$205,A28,'00 Compact View'!$B$6:$B$205,"&gt;="&amp;B28-'03 Mind Knobs'!$B$16+1,'00 Compact View'!$B$6:$B$205,"&lt;="&amp;B28),SUMIFS('00 Compact View'!$I$6:$I$205,'00 Compact View'!$A$6:$A$205,A28,'00 Compact View'!$B$6:$B$205,"&gt;="&amp;B28-'03 Mind Knobs'!$B$16+1,'00 Compact View'!$B$6:$B$205,"&lt;="&amp;B28),SUMIFS('00 Compact View'!$J$6:$J$205,'00 Compact View'!$A$6:$A$205,A28,'00 Compact View'!$B$6:$B$205,"&gt;="&amp;B28-'03 Mind Knobs'!$B$16+1,'00 Compact View'!$B$6:$B$205,"&lt;="&amp;B28),SUMIFS('00 Compact View'!$K$6:$K$205,'00 Compact View'!$A$6:$A$205,A28,'00 Compact View'!$B$6:$B$205,"&gt;="&amp;B28-'03 Mind Knobs'!$B$16+1,'00 Compact View'!$B$6:$B$205,"&lt;="&amp;B28),SUMIFS('00 Compact View'!$L$6:$L$205,'00 Compact View'!$A$6:$A$205,A28,'00 Compact View'!$B$6:$B$205,"&gt;="&amp;B28-'03 Mind Knobs'!$B$16+1,'00 Compact View'!$B$6:$B$205,"&lt;="&amp;B28))&gt;=MAX(1,ROUNDUP('03 Mind Knobs'!$B$16*(1-'03 Mind Knobs'!$B$8),0)))</x:f>
        <x:v>0</x:v>
      </x:c>
      <x:c r="M28" t="n">
        <x:f>--(OR(I28=1,J28=1,K28=1,L28=1))</x:f>
        <x:v>0</x:v>
      </x:c>
    </x:row>
    <x:row r="29">
      <x:c r="A29" t="n">
        <x:f>'00 Compact View'!A29</x:f>
        <x:v>2</x:v>
      </x:c>
      <x:c r="B29" t="n">
        <x:f>'00 Compact View'!B29</x:f>
        <x:v>4</x:v>
      </x:c>
      <x:c r="C29" s="12" t="n">
        <x:f>SUM('00 Compact View'!H29:L29)/5</x:f>
        <x:v>0</x:v>
      </x:c>
      <x:c r="D29" s="12" t="n">
        <x:f>SUM('00 Compact View'!M29:Q29)/5</x:f>
        <x:v>0</x:v>
      </x:c>
      <x:c r="E29" s="12" t="n">
        <x:f>'00 Compact View'!R29</x:f>
        <x:v>0</x:v>
      </x:c>
      <x:c r="F29" s="12" t="n">
        <x:f>'00 Compact View'!T29</x:f>
        <x:v>0</x:v>
      </x:c>
      <x:c r="G29" s="12" t="n">
        <x:f>'04 Resource Body'!$B$10</x:f>
        <x:v>0</x:v>
      </x:c>
      <x:c r="H29" t="n">
        <x:f>--(M29=0)</x:f>
        <x:v>1</x:v>
      </x:c>
      <x:c r="I29" t="n">
        <x:f>--(MIN(1,C29+D29+(E29*'03 Mind Knobs'!$B$17)+(F29*'03 Mind Knobs'!$B$18)+('03 Mind Knobs'!$B$7*F29))&gt;=MAX(0.15,0.35+(G29*'03 Mind Knobs'!$B$10)-('03 Mind Knobs'!$B$13*0.15)))</x:f>
        <x:v>0</x:v>
      </x:c>
      <x:c r="J29" t="n">
        <x:f>--(MIN(1,C29+D29+(E29*'03 Mind Knobs'!$B$17)+(F29*'03 Mind Knobs'!$B$18)+('03 Mind Knobs'!$B$7*F29))&gt;=MIN(0.95,'03 Mind Knobs'!$B$19+(G29*'03 Mind Knobs'!$B$10)-('03 Mind Knobs'!$B$13*0.10)))</x:f>
        <x:v>0</x:v>
      </x:c>
      <x:c r="K29" t="n">
        <x:f>--(AND(J29=1,OR(E29=1,F29=1)))</x:f>
        <x:v>0</x:v>
      </x:c>
      <x:c r="L29" t="n">
        <x:f>--(MAX(SUMIFS('00 Compact View'!$H$6:$H$205,'00 Compact View'!$A$6:$A$205,A29,'00 Compact View'!$B$6:$B$205,"&gt;="&amp;B29-'03 Mind Knobs'!$B$16+1,'00 Compact View'!$B$6:$B$205,"&lt;="&amp;B29),SUMIFS('00 Compact View'!$I$6:$I$205,'00 Compact View'!$A$6:$A$205,A29,'00 Compact View'!$B$6:$B$205,"&gt;="&amp;B29-'03 Mind Knobs'!$B$16+1,'00 Compact View'!$B$6:$B$205,"&lt;="&amp;B29),SUMIFS('00 Compact View'!$J$6:$J$205,'00 Compact View'!$A$6:$A$205,A29,'00 Compact View'!$B$6:$B$205,"&gt;="&amp;B29-'03 Mind Knobs'!$B$16+1,'00 Compact View'!$B$6:$B$205,"&lt;="&amp;B29),SUMIFS('00 Compact View'!$K$6:$K$205,'00 Compact View'!$A$6:$A$205,A29,'00 Compact View'!$B$6:$B$205,"&gt;="&amp;B29-'03 Mind Knobs'!$B$16+1,'00 Compact View'!$B$6:$B$205,"&lt;="&amp;B29),SUMIFS('00 Compact View'!$L$6:$L$205,'00 Compact View'!$A$6:$A$205,A29,'00 Compact View'!$B$6:$B$205,"&gt;="&amp;B29-'03 Mind Knobs'!$B$16+1,'00 Compact View'!$B$6:$B$205,"&lt;="&amp;B29))&gt;=MAX(1,ROUNDUP('03 Mind Knobs'!$B$16*(1-'03 Mind Knobs'!$B$8),0)))</x:f>
        <x:v>0</x:v>
      </x:c>
      <x:c r="M29" t="n">
        <x:f>--(OR(I29=1,J29=1,K29=1,L29=1))</x:f>
        <x:v>0</x:v>
      </x:c>
    </x:row>
    <x:row r="30">
      <x:c r="A30" t="n">
        <x:f>'00 Compact View'!A30</x:f>
        <x:v>2</x:v>
      </x:c>
      <x:c r="B30" t="n">
        <x:f>'00 Compact View'!B30</x:f>
        <x:v>5</x:v>
      </x:c>
      <x:c r="C30" s="12" t="n">
        <x:f>SUM('00 Compact View'!H30:L30)/5</x:f>
        <x:v>0</x:v>
      </x:c>
      <x:c r="D30" s="12" t="n">
        <x:f>SUM('00 Compact View'!M30:Q30)/5</x:f>
        <x:v>0</x:v>
      </x:c>
      <x:c r="E30" s="12" t="n">
        <x:f>'00 Compact View'!R30</x:f>
        <x:v>0</x:v>
      </x:c>
      <x:c r="F30" s="12" t="n">
        <x:f>'00 Compact View'!T30</x:f>
        <x:v>0</x:v>
      </x:c>
      <x:c r="G30" s="12" t="n">
        <x:f>'04 Resource Body'!$B$10</x:f>
        <x:v>0</x:v>
      </x:c>
      <x:c r="H30" t="n">
        <x:f>--(M30=0)</x:f>
        <x:v>1</x:v>
      </x:c>
      <x:c r="I30" t="n">
        <x:f>--(MIN(1,C30+D30+(E30*'03 Mind Knobs'!$B$17)+(F30*'03 Mind Knobs'!$B$18)+('03 Mind Knobs'!$B$7*F30))&gt;=MAX(0.15,0.35+(G30*'03 Mind Knobs'!$B$10)-('03 Mind Knobs'!$B$13*0.15)))</x:f>
        <x:v>0</x:v>
      </x:c>
      <x:c r="J30" t="n">
        <x:f>--(MIN(1,C30+D30+(E30*'03 Mind Knobs'!$B$17)+(F30*'03 Mind Knobs'!$B$18)+('03 Mind Knobs'!$B$7*F30))&gt;=MIN(0.95,'03 Mind Knobs'!$B$19+(G30*'03 Mind Knobs'!$B$10)-('03 Mind Knobs'!$B$13*0.10)))</x:f>
        <x:v>0</x:v>
      </x:c>
      <x:c r="K30" t="n">
        <x:f>--(AND(J30=1,OR(E30=1,F30=1)))</x:f>
        <x:v>0</x:v>
      </x:c>
      <x:c r="L30" t="n">
        <x:f>--(MAX(SUMIFS('00 Compact View'!$H$6:$H$205,'00 Compact View'!$A$6:$A$205,A30,'00 Compact View'!$B$6:$B$205,"&gt;="&amp;B30-'03 Mind Knobs'!$B$16+1,'00 Compact View'!$B$6:$B$205,"&lt;="&amp;B30),SUMIFS('00 Compact View'!$I$6:$I$205,'00 Compact View'!$A$6:$A$205,A30,'00 Compact View'!$B$6:$B$205,"&gt;="&amp;B30-'03 Mind Knobs'!$B$16+1,'00 Compact View'!$B$6:$B$205,"&lt;="&amp;B30),SUMIFS('00 Compact View'!$J$6:$J$205,'00 Compact View'!$A$6:$A$205,A30,'00 Compact View'!$B$6:$B$205,"&gt;="&amp;B30-'03 Mind Knobs'!$B$16+1,'00 Compact View'!$B$6:$B$205,"&lt;="&amp;B30),SUMIFS('00 Compact View'!$K$6:$K$205,'00 Compact View'!$A$6:$A$205,A30,'00 Compact View'!$B$6:$B$205,"&gt;="&amp;B30-'03 Mind Knobs'!$B$16+1,'00 Compact View'!$B$6:$B$205,"&lt;="&amp;B30),SUMIFS('00 Compact View'!$L$6:$L$205,'00 Compact View'!$A$6:$A$205,A30,'00 Compact View'!$B$6:$B$205,"&gt;="&amp;B30-'03 Mind Knobs'!$B$16+1,'00 Compact View'!$B$6:$B$205,"&lt;="&amp;B30))&gt;=MAX(1,ROUNDUP('03 Mind Knobs'!$B$16*(1-'03 Mind Knobs'!$B$8),0)))</x:f>
        <x:v>0</x:v>
      </x:c>
      <x:c r="M30" t="n">
        <x:f>--(OR(I30=1,J30=1,K30=1,L30=1))</x:f>
        <x:v>0</x:v>
      </x:c>
    </x:row>
    <x:row r="31">
      <x:c r="A31" t="n">
        <x:f>'00 Compact View'!A31</x:f>
        <x:v>2</x:v>
      </x:c>
      <x:c r="B31" t="n">
        <x:f>'00 Compact View'!B31</x:f>
        <x:v>6</x:v>
      </x:c>
      <x:c r="C31" s="12" t="n">
        <x:f>SUM('00 Compact View'!H31:L31)/5</x:f>
        <x:v>0</x:v>
      </x:c>
      <x:c r="D31" s="12" t="n">
        <x:f>SUM('00 Compact View'!M31:Q31)/5</x:f>
        <x:v>0</x:v>
      </x:c>
      <x:c r="E31" s="12" t="n">
        <x:f>'00 Compact View'!R31</x:f>
        <x:v>0</x:v>
      </x:c>
      <x:c r="F31" s="12" t="n">
        <x:f>'00 Compact View'!T31</x:f>
        <x:v>0</x:v>
      </x:c>
      <x:c r="G31" s="12" t="n">
        <x:f>'04 Resource Body'!$B$10</x:f>
        <x:v>0</x:v>
      </x:c>
      <x:c r="H31" t="n">
        <x:f>--(M31=0)</x:f>
        <x:v>1</x:v>
      </x:c>
      <x:c r="I31" t="n">
        <x:f>--(MIN(1,C31+D31+(E31*'03 Mind Knobs'!$B$17)+(F31*'03 Mind Knobs'!$B$18)+('03 Mind Knobs'!$B$7*F31))&gt;=MAX(0.15,0.35+(G31*'03 Mind Knobs'!$B$10)-('03 Mind Knobs'!$B$13*0.15)))</x:f>
        <x:v>0</x:v>
      </x:c>
      <x:c r="J31" t="n">
        <x:f>--(MIN(1,C31+D31+(E31*'03 Mind Knobs'!$B$17)+(F31*'03 Mind Knobs'!$B$18)+('03 Mind Knobs'!$B$7*F31))&gt;=MIN(0.95,'03 Mind Knobs'!$B$19+(G31*'03 Mind Knobs'!$B$10)-('03 Mind Knobs'!$B$13*0.10)))</x:f>
        <x:v>0</x:v>
      </x:c>
      <x:c r="K31" t="n">
        <x:f>--(AND(J31=1,OR(E31=1,F31=1)))</x:f>
        <x:v>0</x:v>
      </x:c>
      <x:c r="L31" t="n">
        <x:f>--(MAX(SUMIFS('00 Compact View'!$H$6:$H$205,'00 Compact View'!$A$6:$A$205,A31,'00 Compact View'!$B$6:$B$205,"&gt;="&amp;B31-'03 Mind Knobs'!$B$16+1,'00 Compact View'!$B$6:$B$205,"&lt;="&amp;B31),SUMIFS('00 Compact View'!$I$6:$I$205,'00 Compact View'!$A$6:$A$205,A31,'00 Compact View'!$B$6:$B$205,"&gt;="&amp;B31-'03 Mind Knobs'!$B$16+1,'00 Compact View'!$B$6:$B$205,"&lt;="&amp;B31),SUMIFS('00 Compact View'!$J$6:$J$205,'00 Compact View'!$A$6:$A$205,A31,'00 Compact View'!$B$6:$B$205,"&gt;="&amp;B31-'03 Mind Knobs'!$B$16+1,'00 Compact View'!$B$6:$B$205,"&lt;="&amp;B31),SUMIFS('00 Compact View'!$K$6:$K$205,'00 Compact View'!$A$6:$A$205,A31,'00 Compact View'!$B$6:$B$205,"&gt;="&amp;B31-'03 Mind Knobs'!$B$16+1,'00 Compact View'!$B$6:$B$205,"&lt;="&amp;B31),SUMIFS('00 Compact View'!$L$6:$L$205,'00 Compact View'!$A$6:$A$205,A31,'00 Compact View'!$B$6:$B$205,"&gt;="&amp;B31-'03 Mind Knobs'!$B$16+1,'00 Compact View'!$B$6:$B$205,"&lt;="&amp;B31))&gt;=MAX(1,ROUNDUP('03 Mind Knobs'!$B$16*(1-'03 Mind Knobs'!$B$8),0)))</x:f>
        <x:v>0</x:v>
      </x:c>
      <x:c r="M31" t="n">
        <x:f>--(OR(I31=1,J31=1,K31=1,L31=1))</x:f>
        <x:v>0</x:v>
      </x:c>
    </x:row>
    <x:row r="32">
      <x:c r="A32" t="n">
        <x:f>'00 Compact View'!A32</x:f>
        <x:v>2</x:v>
      </x:c>
      <x:c r="B32" t="n">
        <x:f>'00 Compact View'!B32</x:f>
        <x:v>7</x:v>
      </x:c>
      <x:c r="C32" s="12" t="n">
        <x:f>SUM('00 Compact View'!H32:L32)/5</x:f>
        <x:v>0</x:v>
      </x:c>
      <x:c r="D32" s="12" t="n">
        <x:f>SUM('00 Compact View'!M32:Q32)/5</x:f>
        <x:v>0</x:v>
      </x:c>
      <x:c r="E32" s="12" t="n">
        <x:f>'00 Compact View'!R32</x:f>
        <x:v>0</x:v>
      </x:c>
      <x:c r="F32" s="12" t="n">
        <x:f>'00 Compact View'!T32</x:f>
        <x:v>0</x:v>
      </x:c>
      <x:c r="G32" s="12" t="n">
        <x:f>'04 Resource Body'!$B$10</x:f>
        <x:v>0</x:v>
      </x:c>
      <x:c r="H32" t="n">
        <x:f>--(M32=0)</x:f>
        <x:v>1</x:v>
      </x:c>
      <x:c r="I32" t="n">
        <x:f>--(MIN(1,C32+D32+(E32*'03 Mind Knobs'!$B$17)+(F32*'03 Mind Knobs'!$B$18)+('03 Mind Knobs'!$B$7*F32))&gt;=MAX(0.15,0.35+(G32*'03 Mind Knobs'!$B$10)-('03 Mind Knobs'!$B$13*0.15)))</x:f>
        <x:v>0</x:v>
      </x:c>
      <x:c r="J32" t="n">
        <x:f>--(MIN(1,C32+D32+(E32*'03 Mind Knobs'!$B$17)+(F32*'03 Mind Knobs'!$B$18)+('03 Mind Knobs'!$B$7*F32))&gt;=MIN(0.95,'03 Mind Knobs'!$B$19+(G32*'03 Mind Knobs'!$B$10)-('03 Mind Knobs'!$B$13*0.10)))</x:f>
        <x:v>0</x:v>
      </x:c>
      <x:c r="K32" t="n">
        <x:f>--(AND(J32=1,OR(E32=1,F32=1)))</x:f>
        <x:v>0</x:v>
      </x:c>
      <x:c r="L32" t="n">
        <x:f>--(MAX(SUMIFS('00 Compact View'!$H$6:$H$205,'00 Compact View'!$A$6:$A$205,A32,'00 Compact View'!$B$6:$B$205,"&gt;="&amp;B32-'03 Mind Knobs'!$B$16+1,'00 Compact View'!$B$6:$B$205,"&lt;="&amp;B32),SUMIFS('00 Compact View'!$I$6:$I$205,'00 Compact View'!$A$6:$A$205,A32,'00 Compact View'!$B$6:$B$205,"&gt;="&amp;B32-'03 Mind Knobs'!$B$16+1,'00 Compact View'!$B$6:$B$205,"&lt;="&amp;B32),SUMIFS('00 Compact View'!$J$6:$J$205,'00 Compact View'!$A$6:$A$205,A32,'00 Compact View'!$B$6:$B$205,"&gt;="&amp;B32-'03 Mind Knobs'!$B$16+1,'00 Compact View'!$B$6:$B$205,"&lt;="&amp;B32),SUMIFS('00 Compact View'!$K$6:$K$205,'00 Compact View'!$A$6:$A$205,A32,'00 Compact View'!$B$6:$B$205,"&gt;="&amp;B32-'03 Mind Knobs'!$B$16+1,'00 Compact View'!$B$6:$B$205,"&lt;="&amp;B32),SUMIFS('00 Compact View'!$L$6:$L$205,'00 Compact View'!$A$6:$A$205,A32,'00 Compact View'!$B$6:$B$205,"&gt;="&amp;B32-'03 Mind Knobs'!$B$16+1,'00 Compact View'!$B$6:$B$205,"&lt;="&amp;B32))&gt;=MAX(1,ROUNDUP('03 Mind Knobs'!$B$16*(1-'03 Mind Knobs'!$B$8),0)))</x:f>
        <x:v>0</x:v>
      </x:c>
      <x:c r="M32" t="n">
        <x:f>--(OR(I32=1,J32=1,K32=1,L32=1))</x:f>
        <x:v>0</x:v>
      </x:c>
    </x:row>
    <x:row r="33">
      <x:c r="A33" t="n">
        <x:f>'00 Compact View'!A33</x:f>
        <x:v>2</x:v>
      </x:c>
      <x:c r="B33" t="n">
        <x:f>'00 Compact View'!B33</x:f>
        <x:v>8</x:v>
      </x:c>
      <x:c r="C33" s="12" t="n">
        <x:f>SUM('00 Compact View'!H33:L33)/5</x:f>
        <x:v>0</x:v>
      </x:c>
      <x:c r="D33" s="12" t="n">
        <x:f>SUM('00 Compact View'!M33:Q33)/5</x:f>
        <x:v>0</x:v>
      </x:c>
      <x:c r="E33" s="12" t="n">
        <x:f>'00 Compact View'!R33</x:f>
        <x:v>0</x:v>
      </x:c>
      <x:c r="F33" s="12" t="n">
        <x:f>'00 Compact View'!T33</x:f>
        <x:v>0</x:v>
      </x:c>
      <x:c r="G33" s="12" t="n">
        <x:f>'04 Resource Body'!$B$10</x:f>
        <x:v>0</x:v>
      </x:c>
      <x:c r="H33" t="n">
        <x:f>--(M33=0)</x:f>
        <x:v>1</x:v>
      </x:c>
      <x:c r="I33" t="n">
        <x:f>--(MIN(1,C33+D33+(E33*'03 Mind Knobs'!$B$17)+(F33*'03 Mind Knobs'!$B$18)+('03 Mind Knobs'!$B$7*F33))&gt;=MAX(0.15,0.35+(G33*'03 Mind Knobs'!$B$10)-('03 Mind Knobs'!$B$13*0.15)))</x:f>
        <x:v>0</x:v>
      </x:c>
      <x:c r="J33" t="n">
        <x:f>--(MIN(1,C33+D33+(E33*'03 Mind Knobs'!$B$17)+(F33*'03 Mind Knobs'!$B$18)+('03 Mind Knobs'!$B$7*F33))&gt;=MIN(0.95,'03 Mind Knobs'!$B$19+(G33*'03 Mind Knobs'!$B$10)-('03 Mind Knobs'!$B$13*0.10)))</x:f>
        <x:v>0</x:v>
      </x:c>
      <x:c r="K33" t="n">
        <x:f>--(AND(J33=1,OR(E33=1,F33=1)))</x:f>
        <x:v>0</x:v>
      </x:c>
      <x:c r="L33" t="n">
        <x:f>--(MAX(SUMIFS('00 Compact View'!$H$6:$H$205,'00 Compact View'!$A$6:$A$205,A33,'00 Compact View'!$B$6:$B$205,"&gt;="&amp;B33-'03 Mind Knobs'!$B$16+1,'00 Compact View'!$B$6:$B$205,"&lt;="&amp;B33),SUMIFS('00 Compact View'!$I$6:$I$205,'00 Compact View'!$A$6:$A$205,A33,'00 Compact View'!$B$6:$B$205,"&gt;="&amp;B33-'03 Mind Knobs'!$B$16+1,'00 Compact View'!$B$6:$B$205,"&lt;="&amp;B33),SUMIFS('00 Compact View'!$J$6:$J$205,'00 Compact View'!$A$6:$A$205,A33,'00 Compact View'!$B$6:$B$205,"&gt;="&amp;B33-'03 Mind Knobs'!$B$16+1,'00 Compact View'!$B$6:$B$205,"&lt;="&amp;B33),SUMIFS('00 Compact View'!$K$6:$K$205,'00 Compact View'!$A$6:$A$205,A33,'00 Compact View'!$B$6:$B$205,"&gt;="&amp;B33-'03 Mind Knobs'!$B$16+1,'00 Compact View'!$B$6:$B$205,"&lt;="&amp;B33),SUMIFS('00 Compact View'!$L$6:$L$205,'00 Compact View'!$A$6:$A$205,A33,'00 Compact View'!$B$6:$B$205,"&gt;="&amp;B33-'03 Mind Knobs'!$B$16+1,'00 Compact View'!$B$6:$B$205,"&lt;="&amp;B33))&gt;=MAX(1,ROUNDUP('03 Mind Knobs'!$B$16*(1-'03 Mind Knobs'!$B$8),0)))</x:f>
        <x:v>0</x:v>
      </x:c>
      <x:c r="M33" t="n">
        <x:f>--(OR(I33=1,J33=1,K33=1,L33=1))</x:f>
        <x:v>0</x:v>
      </x:c>
    </x:row>
    <x:row r="34">
      <x:c r="A34" t="n">
        <x:f>'00 Compact View'!A34</x:f>
        <x:v>2</x:v>
      </x:c>
      <x:c r="B34" t="n">
        <x:f>'00 Compact View'!B34</x:f>
        <x:v>9</x:v>
      </x:c>
      <x:c r="C34" s="12" t="n">
        <x:f>SUM('00 Compact View'!H34:L34)/5</x:f>
        <x:v>0</x:v>
      </x:c>
      <x:c r="D34" s="12" t="n">
        <x:f>SUM('00 Compact View'!M34:Q34)/5</x:f>
        <x:v>0</x:v>
      </x:c>
      <x:c r="E34" s="12" t="n">
        <x:f>'00 Compact View'!R34</x:f>
        <x:v>0</x:v>
      </x:c>
      <x:c r="F34" s="12" t="n">
        <x:f>'00 Compact View'!T34</x:f>
        <x:v>0</x:v>
      </x:c>
      <x:c r="G34" s="12" t="n">
        <x:f>'04 Resource Body'!$B$10</x:f>
        <x:v>0</x:v>
      </x:c>
      <x:c r="H34" t="n">
        <x:f>--(M34=0)</x:f>
        <x:v>1</x:v>
      </x:c>
      <x:c r="I34" t="n">
        <x:f>--(MIN(1,C34+D34+(E34*'03 Mind Knobs'!$B$17)+(F34*'03 Mind Knobs'!$B$18)+('03 Mind Knobs'!$B$7*F34))&gt;=MAX(0.15,0.35+(G34*'03 Mind Knobs'!$B$10)-('03 Mind Knobs'!$B$13*0.15)))</x:f>
        <x:v>0</x:v>
      </x:c>
      <x:c r="J34" t="n">
        <x:f>--(MIN(1,C34+D34+(E34*'03 Mind Knobs'!$B$17)+(F34*'03 Mind Knobs'!$B$18)+('03 Mind Knobs'!$B$7*F34))&gt;=MIN(0.95,'03 Mind Knobs'!$B$19+(G34*'03 Mind Knobs'!$B$10)-('03 Mind Knobs'!$B$13*0.10)))</x:f>
        <x:v>0</x:v>
      </x:c>
      <x:c r="K34" t="n">
        <x:f>--(AND(J34=1,OR(E34=1,F34=1)))</x:f>
        <x:v>0</x:v>
      </x:c>
      <x:c r="L34" t="n">
        <x:f>--(MAX(SUMIFS('00 Compact View'!$H$6:$H$205,'00 Compact View'!$A$6:$A$205,A34,'00 Compact View'!$B$6:$B$205,"&gt;="&amp;B34-'03 Mind Knobs'!$B$16+1,'00 Compact View'!$B$6:$B$205,"&lt;="&amp;B34),SUMIFS('00 Compact View'!$I$6:$I$205,'00 Compact View'!$A$6:$A$205,A34,'00 Compact View'!$B$6:$B$205,"&gt;="&amp;B34-'03 Mind Knobs'!$B$16+1,'00 Compact View'!$B$6:$B$205,"&lt;="&amp;B34),SUMIFS('00 Compact View'!$J$6:$J$205,'00 Compact View'!$A$6:$A$205,A34,'00 Compact View'!$B$6:$B$205,"&gt;="&amp;B34-'03 Mind Knobs'!$B$16+1,'00 Compact View'!$B$6:$B$205,"&lt;="&amp;B34),SUMIFS('00 Compact View'!$K$6:$K$205,'00 Compact View'!$A$6:$A$205,A34,'00 Compact View'!$B$6:$B$205,"&gt;="&amp;B34-'03 Mind Knobs'!$B$16+1,'00 Compact View'!$B$6:$B$205,"&lt;="&amp;B34),SUMIFS('00 Compact View'!$L$6:$L$205,'00 Compact View'!$A$6:$A$205,A34,'00 Compact View'!$B$6:$B$205,"&gt;="&amp;B34-'03 Mind Knobs'!$B$16+1,'00 Compact View'!$B$6:$B$205,"&lt;="&amp;B34))&gt;=MAX(1,ROUNDUP('03 Mind Knobs'!$B$16*(1-'03 Mind Knobs'!$B$8),0)))</x:f>
        <x:v>0</x:v>
      </x:c>
      <x:c r="M34" t="n">
        <x:f>--(OR(I34=1,J34=1,K34=1,L34=1))</x:f>
        <x:v>0</x:v>
      </x:c>
    </x:row>
    <x:row r="35">
      <x:c r="A35" t="n">
        <x:f>'00 Compact View'!A35</x:f>
        <x:v>2</x:v>
      </x:c>
      <x:c r="B35" t="n">
        <x:f>'00 Compact View'!B35</x:f>
        <x:v>10</x:v>
      </x:c>
      <x:c r="C35" s="12" t="n">
        <x:f>SUM('00 Compact View'!H35:L35)/5</x:f>
        <x:v>0</x:v>
      </x:c>
      <x:c r="D35" s="12" t="n">
        <x:f>SUM('00 Compact View'!M35:Q35)/5</x:f>
        <x:v>0</x:v>
      </x:c>
      <x:c r="E35" s="12" t="n">
        <x:f>'00 Compact View'!R35</x:f>
        <x:v>0</x:v>
      </x:c>
      <x:c r="F35" s="12" t="n">
        <x:f>'00 Compact View'!T35</x:f>
        <x:v>0</x:v>
      </x:c>
      <x:c r="G35" s="12" t="n">
        <x:f>'04 Resource Body'!$B$10</x:f>
        <x:v>0</x:v>
      </x:c>
      <x:c r="H35" t="n">
        <x:f>--(M35=0)</x:f>
        <x:v>1</x:v>
      </x:c>
      <x:c r="I35" t="n">
        <x:f>--(MIN(1,C35+D35+(E35*'03 Mind Knobs'!$B$17)+(F35*'03 Mind Knobs'!$B$18)+('03 Mind Knobs'!$B$7*F35))&gt;=MAX(0.15,0.35+(G35*'03 Mind Knobs'!$B$10)-('03 Mind Knobs'!$B$13*0.15)))</x:f>
        <x:v>0</x:v>
      </x:c>
      <x:c r="J35" t="n">
        <x:f>--(MIN(1,C35+D35+(E35*'03 Mind Knobs'!$B$17)+(F35*'03 Mind Knobs'!$B$18)+('03 Mind Knobs'!$B$7*F35))&gt;=MIN(0.95,'03 Mind Knobs'!$B$19+(G35*'03 Mind Knobs'!$B$10)-('03 Mind Knobs'!$B$13*0.10)))</x:f>
        <x:v>0</x:v>
      </x:c>
      <x:c r="K35" t="n">
        <x:f>--(AND(J35=1,OR(E35=1,F35=1)))</x:f>
        <x:v>0</x:v>
      </x:c>
      <x:c r="L35" t="n">
        <x:f>--(MAX(SUMIFS('00 Compact View'!$H$6:$H$205,'00 Compact View'!$A$6:$A$205,A35,'00 Compact View'!$B$6:$B$205,"&gt;="&amp;B35-'03 Mind Knobs'!$B$16+1,'00 Compact View'!$B$6:$B$205,"&lt;="&amp;B35),SUMIFS('00 Compact View'!$I$6:$I$205,'00 Compact View'!$A$6:$A$205,A35,'00 Compact View'!$B$6:$B$205,"&gt;="&amp;B35-'03 Mind Knobs'!$B$16+1,'00 Compact View'!$B$6:$B$205,"&lt;="&amp;B35),SUMIFS('00 Compact View'!$J$6:$J$205,'00 Compact View'!$A$6:$A$205,A35,'00 Compact View'!$B$6:$B$205,"&gt;="&amp;B35-'03 Mind Knobs'!$B$16+1,'00 Compact View'!$B$6:$B$205,"&lt;="&amp;B35),SUMIFS('00 Compact View'!$K$6:$K$205,'00 Compact View'!$A$6:$A$205,A35,'00 Compact View'!$B$6:$B$205,"&gt;="&amp;B35-'03 Mind Knobs'!$B$16+1,'00 Compact View'!$B$6:$B$205,"&lt;="&amp;B35),SUMIFS('00 Compact View'!$L$6:$L$205,'00 Compact View'!$A$6:$A$205,A35,'00 Compact View'!$B$6:$B$205,"&gt;="&amp;B35-'03 Mind Knobs'!$B$16+1,'00 Compact View'!$B$6:$B$205,"&lt;="&amp;B35))&gt;=MAX(1,ROUNDUP('03 Mind Knobs'!$B$16*(1-'03 Mind Knobs'!$B$8),0)))</x:f>
        <x:v>0</x:v>
      </x:c>
      <x:c r="M35" t="n">
        <x:f>--(OR(I35=1,J35=1,K35=1,L35=1))</x:f>
        <x:v>0</x:v>
      </x:c>
    </x:row>
    <x:row r="36">
      <x:c r="A36" t="n">
        <x:f>'00 Compact View'!A36</x:f>
        <x:v>2</x:v>
      </x:c>
      <x:c r="B36" t="n">
        <x:f>'00 Compact View'!B36</x:f>
        <x:v>11</x:v>
      </x:c>
      <x:c r="C36" s="12" t="n">
        <x:f>SUM('00 Compact View'!H36:L36)/5</x:f>
        <x:v>0</x:v>
      </x:c>
      <x:c r="D36" s="12" t="n">
        <x:f>SUM('00 Compact View'!M36:Q36)/5</x:f>
        <x:v>0</x:v>
      </x:c>
      <x:c r="E36" s="12" t="n">
        <x:f>'00 Compact View'!R36</x:f>
        <x:v>0</x:v>
      </x:c>
      <x:c r="F36" s="12" t="n">
        <x:f>'00 Compact View'!T36</x:f>
        <x:v>0</x:v>
      </x:c>
      <x:c r="G36" s="12" t="n">
        <x:f>'04 Resource Body'!$B$10</x:f>
        <x:v>0</x:v>
      </x:c>
      <x:c r="H36" t="n">
        <x:f>--(M36=0)</x:f>
        <x:v>1</x:v>
      </x:c>
      <x:c r="I36" t="n">
        <x:f>--(MIN(1,C36+D36+(E36*'03 Mind Knobs'!$B$17)+(F36*'03 Mind Knobs'!$B$18)+('03 Mind Knobs'!$B$7*F36))&gt;=MAX(0.15,0.35+(G36*'03 Mind Knobs'!$B$10)-('03 Mind Knobs'!$B$13*0.15)))</x:f>
        <x:v>0</x:v>
      </x:c>
      <x:c r="J36" t="n">
        <x:f>--(MIN(1,C36+D36+(E36*'03 Mind Knobs'!$B$17)+(F36*'03 Mind Knobs'!$B$18)+('03 Mind Knobs'!$B$7*F36))&gt;=MIN(0.95,'03 Mind Knobs'!$B$19+(G36*'03 Mind Knobs'!$B$10)-('03 Mind Knobs'!$B$13*0.10)))</x:f>
        <x:v>0</x:v>
      </x:c>
      <x:c r="K36" t="n">
        <x:f>--(AND(J36=1,OR(E36=1,F36=1)))</x:f>
        <x:v>0</x:v>
      </x:c>
      <x:c r="L36" t="n">
        <x:f>--(MAX(SUMIFS('00 Compact View'!$H$6:$H$205,'00 Compact View'!$A$6:$A$205,A36,'00 Compact View'!$B$6:$B$205,"&gt;="&amp;B36-'03 Mind Knobs'!$B$16+1,'00 Compact View'!$B$6:$B$205,"&lt;="&amp;B36),SUMIFS('00 Compact View'!$I$6:$I$205,'00 Compact View'!$A$6:$A$205,A36,'00 Compact View'!$B$6:$B$205,"&gt;="&amp;B36-'03 Mind Knobs'!$B$16+1,'00 Compact View'!$B$6:$B$205,"&lt;="&amp;B36),SUMIFS('00 Compact View'!$J$6:$J$205,'00 Compact View'!$A$6:$A$205,A36,'00 Compact View'!$B$6:$B$205,"&gt;="&amp;B36-'03 Mind Knobs'!$B$16+1,'00 Compact View'!$B$6:$B$205,"&lt;="&amp;B36),SUMIFS('00 Compact View'!$K$6:$K$205,'00 Compact View'!$A$6:$A$205,A36,'00 Compact View'!$B$6:$B$205,"&gt;="&amp;B36-'03 Mind Knobs'!$B$16+1,'00 Compact View'!$B$6:$B$205,"&lt;="&amp;B36),SUMIFS('00 Compact View'!$L$6:$L$205,'00 Compact View'!$A$6:$A$205,A36,'00 Compact View'!$B$6:$B$205,"&gt;="&amp;B36-'03 Mind Knobs'!$B$16+1,'00 Compact View'!$B$6:$B$205,"&lt;="&amp;B36))&gt;=MAX(1,ROUNDUP('03 Mind Knobs'!$B$16*(1-'03 Mind Knobs'!$B$8),0)))</x:f>
        <x:v>0</x:v>
      </x:c>
      <x:c r="M36" t="n">
        <x:f>--(OR(I36=1,J36=1,K36=1,L36=1))</x:f>
        <x:v>0</x:v>
      </x:c>
    </x:row>
    <x:row r="37">
      <x:c r="A37" t="n">
        <x:f>'00 Compact View'!A37</x:f>
        <x:v>2</x:v>
      </x:c>
      <x:c r="B37" t="n">
        <x:f>'00 Compact View'!B37</x:f>
        <x:v>12</x:v>
      </x:c>
      <x:c r="C37" s="12" t="n">
        <x:f>SUM('00 Compact View'!H37:L37)/5</x:f>
        <x:v>0</x:v>
      </x:c>
      <x:c r="D37" s="12" t="n">
        <x:f>SUM('00 Compact View'!M37:Q37)/5</x:f>
        <x:v>0</x:v>
      </x:c>
      <x:c r="E37" s="12" t="n">
        <x:f>'00 Compact View'!R37</x:f>
        <x:v>0</x:v>
      </x:c>
      <x:c r="F37" s="12" t="n">
        <x:f>'00 Compact View'!T37</x:f>
        <x:v>0</x:v>
      </x:c>
      <x:c r="G37" s="12" t="n">
        <x:f>'04 Resource Body'!$B$10</x:f>
        <x:v>0</x:v>
      </x:c>
      <x:c r="H37" t="n">
        <x:f>--(M37=0)</x:f>
        <x:v>1</x:v>
      </x:c>
      <x:c r="I37" t="n">
        <x:f>--(MIN(1,C37+D37+(E37*'03 Mind Knobs'!$B$17)+(F37*'03 Mind Knobs'!$B$18)+('03 Mind Knobs'!$B$7*F37))&gt;=MAX(0.15,0.35+(G37*'03 Mind Knobs'!$B$10)-('03 Mind Knobs'!$B$13*0.15)))</x:f>
        <x:v>0</x:v>
      </x:c>
      <x:c r="J37" t="n">
        <x:f>--(MIN(1,C37+D37+(E37*'03 Mind Knobs'!$B$17)+(F37*'03 Mind Knobs'!$B$18)+('03 Mind Knobs'!$B$7*F37))&gt;=MIN(0.95,'03 Mind Knobs'!$B$19+(G37*'03 Mind Knobs'!$B$10)-('03 Mind Knobs'!$B$13*0.10)))</x:f>
        <x:v>0</x:v>
      </x:c>
      <x:c r="K37" t="n">
        <x:f>--(AND(J37=1,OR(E37=1,F37=1)))</x:f>
        <x:v>0</x:v>
      </x:c>
      <x:c r="L37" t="n">
        <x:f>--(MAX(SUMIFS('00 Compact View'!$H$6:$H$205,'00 Compact View'!$A$6:$A$205,A37,'00 Compact View'!$B$6:$B$205,"&gt;="&amp;B37-'03 Mind Knobs'!$B$16+1,'00 Compact View'!$B$6:$B$205,"&lt;="&amp;B37),SUMIFS('00 Compact View'!$I$6:$I$205,'00 Compact View'!$A$6:$A$205,A37,'00 Compact View'!$B$6:$B$205,"&gt;="&amp;B37-'03 Mind Knobs'!$B$16+1,'00 Compact View'!$B$6:$B$205,"&lt;="&amp;B37),SUMIFS('00 Compact View'!$J$6:$J$205,'00 Compact View'!$A$6:$A$205,A37,'00 Compact View'!$B$6:$B$205,"&gt;="&amp;B37-'03 Mind Knobs'!$B$16+1,'00 Compact View'!$B$6:$B$205,"&lt;="&amp;B37),SUMIFS('00 Compact View'!$K$6:$K$205,'00 Compact View'!$A$6:$A$205,A37,'00 Compact View'!$B$6:$B$205,"&gt;="&amp;B37-'03 Mind Knobs'!$B$16+1,'00 Compact View'!$B$6:$B$205,"&lt;="&amp;B37),SUMIFS('00 Compact View'!$L$6:$L$205,'00 Compact View'!$A$6:$A$205,A37,'00 Compact View'!$B$6:$B$205,"&gt;="&amp;B37-'03 Mind Knobs'!$B$16+1,'00 Compact View'!$B$6:$B$205,"&lt;="&amp;B37))&gt;=MAX(1,ROUNDUP('03 Mind Knobs'!$B$16*(1-'03 Mind Knobs'!$B$8),0)))</x:f>
        <x:v>0</x:v>
      </x:c>
      <x:c r="M37" t="n">
        <x:f>--(OR(I37=1,J37=1,K37=1,L37=1))</x:f>
        <x:v>0</x:v>
      </x:c>
    </x:row>
    <x:row r="38">
      <x:c r="A38" t="n">
        <x:f>'00 Compact View'!A38</x:f>
        <x:v>2</x:v>
      </x:c>
      <x:c r="B38" t="n">
        <x:f>'00 Compact View'!B38</x:f>
        <x:v>13</x:v>
      </x:c>
      <x:c r="C38" s="12" t="n">
        <x:f>SUM('00 Compact View'!H38:L38)/5</x:f>
        <x:v>0</x:v>
      </x:c>
      <x:c r="D38" s="12" t="n">
        <x:f>SUM('00 Compact View'!M38:Q38)/5</x:f>
        <x:v>0</x:v>
      </x:c>
      <x:c r="E38" s="12" t="n">
        <x:f>'00 Compact View'!R38</x:f>
        <x:v>0</x:v>
      </x:c>
      <x:c r="F38" s="12" t="n">
        <x:f>'00 Compact View'!T38</x:f>
        <x:v>0</x:v>
      </x:c>
      <x:c r="G38" s="12" t="n">
        <x:f>'04 Resource Body'!$B$10</x:f>
        <x:v>0</x:v>
      </x:c>
      <x:c r="H38" t="n">
        <x:f>--(M38=0)</x:f>
        <x:v>1</x:v>
      </x:c>
      <x:c r="I38" t="n">
        <x:f>--(MIN(1,C38+D38+(E38*'03 Mind Knobs'!$B$17)+(F38*'03 Mind Knobs'!$B$18)+('03 Mind Knobs'!$B$7*F38))&gt;=MAX(0.15,0.35+(G38*'03 Mind Knobs'!$B$10)-('03 Mind Knobs'!$B$13*0.15)))</x:f>
        <x:v>0</x:v>
      </x:c>
      <x:c r="J38" t="n">
        <x:f>--(MIN(1,C38+D38+(E38*'03 Mind Knobs'!$B$17)+(F38*'03 Mind Knobs'!$B$18)+('03 Mind Knobs'!$B$7*F38))&gt;=MIN(0.95,'03 Mind Knobs'!$B$19+(G38*'03 Mind Knobs'!$B$10)-('03 Mind Knobs'!$B$13*0.10)))</x:f>
        <x:v>0</x:v>
      </x:c>
      <x:c r="K38" t="n">
        <x:f>--(AND(J38=1,OR(E38=1,F38=1)))</x:f>
        <x:v>0</x:v>
      </x:c>
      <x:c r="L38" t="n">
        <x:f>--(MAX(SUMIFS('00 Compact View'!$H$6:$H$205,'00 Compact View'!$A$6:$A$205,A38,'00 Compact View'!$B$6:$B$205,"&gt;="&amp;B38-'03 Mind Knobs'!$B$16+1,'00 Compact View'!$B$6:$B$205,"&lt;="&amp;B38),SUMIFS('00 Compact View'!$I$6:$I$205,'00 Compact View'!$A$6:$A$205,A38,'00 Compact View'!$B$6:$B$205,"&gt;="&amp;B38-'03 Mind Knobs'!$B$16+1,'00 Compact View'!$B$6:$B$205,"&lt;="&amp;B38),SUMIFS('00 Compact View'!$J$6:$J$205,'00 Compact View'!$A$6:$A$205,A38,'00 Compact View'!$B$6:$B$205,"&gt;="&amp;B38-'03 Mind Knobs'!$B$16+1,'00 Compact View'!$B$6:$B$205,"&lt;="&amp;B38),SUMIFS('00 Compact View'!$K$6:$K$205,'00 Compact View'!$A$6:$A$205,A38,'00 Compact View'!$B$6:$B$205,"&gt;="&amp;B38-'03 Mind Knobs'!$B$16+1,'00 Compact View'!$B$6:$B$205,"&lt;="&amp;B38),SUMIFS('00 Compact View'!$L$6:$L$205,'00 Compact View'!$A$6:$A$205,A38,'00 Compact View'!$B$6:$B$205,"&gt;="&amp;B38-'03 Mind Knobs'!$B$16+1,'00 Compact View'!$B$6:$B$205,"&lt;="&amp;B38))&gt;=MAX(1,ROUNDUP('03 Mind Knobs'!$B$16*(1-'03 Mind Knobs'!$B$8),0)))</x:f>
        <x:v>0</x:v>
      </x:c>
      <x:c r="M38" t="n">
        <x:f>--(OR(I38=1,J38=1,K38=1,L38=1))</x:f>
        <x:v>0</x:v>
      </x:c>
    </x:row>
    <x:row r="39">
      <x:c r="A39" t="n">
        <x:f>'00 Compact View'!A39</x:f>
        <x:v>2</x:v>
      </x:c>
      <x:c r="B39" t="n">
        <x:f>'00 Compact View'!B39</x:f>
        <x:v>14</x:v>
      </x:c>
      <x:c r="C39" s="12" t="n">
        <x:f>SUM('00 Compact View'!H39:L39)/5</x:f>
        <x:v>0</x:v>
      </x:c>
      <x:c r="D39" s="12" t="n">
        <x:f>SUM('00 Compact View'!M39:Q39)/5</x:f>
        <x:v>0</x:v>
      </x:c>
      <x:c r="E39" s="12" t="n">
        <x:f>'00 Compact View'!R39</x:f>
        <x:v>0</x:v>
      </x:c>
      <x:c r="F39" s="12" t="n">
        <x:f>'00 Compact View'!T39</x:f>
        <x:v>0</x:v>
      </x:c>
      <x:c r="G39" s="12" t="n">
        <x:f>'04 Resource Body'!$B$10</x:f>
        <x:v>0</x:v>
      </x:c>
      <x:c r="H39" t="n">
        <x:f>--(M39=0)</x:f>
        <x:v>1</x:v>
      </x:c>
      <x:c r="I39" t="n">
        <x:f>--(MIN(1,C39+D39+(E39*'03 Mind Knobs'!$B$17)+(F39*'03 Mind Knobs'!$B$18)+('03 Mind Knobs'!$B$7*F39))&gt;=MAX(0.15,0.35+(G39*'03 Mind Knobs'!$B$10)-('03 Mind Knobs'!$B$13*0.15)))</x:f>
        <x:v>0</x:v>
      </x:c>
      <x:c r="J39" t="n">
        <x:f>--(MIN(1,C39+D39+(E39*'03 Mind Knobs'!$B$17)+(F39*'03 Mind Knobs'!$B$18)+('03 Mind Knobs'!$B$7*F39))&gt;=MIN(0.95,'03 Mind Knobs'!$B$19+(G39*'03 Mind Knobs'!$B$10)-('03 Mind Knobs'!$B$13*0.10)))</x:f>
        <x:v>0</x:v>
      </x:c>
      <x:c r="K39" t="n">
        <x:f>--(AND(J39=1,OR(E39=1,F39=1)))</x:f>
        <x:v>0</x:v>
      </x:c>
      <x:c r="L39" t="n">
        <x:f>--(MAX(SUMIFS('00 Compact View'!$H$6:$H$205,'00 Compact View'!$A$6:$A$205,A39,'00 Compact View'!$B$6:$B$205,"&gt;="&amp;B39-'03 Mind Knobs'!$B$16+1,'00 Compact View'!$B$6:$B$205,"&lt;="&amp;B39),SUMIFS('00 Compact View'!$I$6:$I$205,'00 Compact View'!$A$6:$A$205,A39,'00 Compact View'!$B$6:$B$205,"&gt;="&amp;B39-'03 Mind Knobs'!$B$16+1,'00 Compact View'!$B$6:$B$205,"&lt;="&amp;B39),SUMIFS('00 Compact View'!$J$6:$J$205,'00 Compact View'!$A$6:$A$205,A39,'00 Compact View'!$B$6:$B$205,"&gt;="&amp;B39-'03 Mind Knobs'!$B$16+1,'00 Compact View'!$B$6:$B$205,"&lt;="&amp;B39),SUMIFS('00 Compact View'!$K$6:$K$205,'00 Compact View'!$A$6:$A$205,A39,'00 Compact View'!$B$6:$B$205,"&gt;="&amp;B39-'03 Mind Knobs'!$B$16+1,'00 Compact View'!$B$6:$B$205,"&lt;="&amp;B39),SUMIFS('00 Compact View'!$L$6:$L$205,'00 Compact View'!$A$6:$A$205,A39,'00 Compact View'!$B$6:$B$205,"&gt;="&amp;B39-'03 Mind Knobs'!$B$16+1,'00 Compact View'!$B$6:$B$205,"&lt;="&amp;B39))&gt;=MAX(1,ROUNDUP('03 Mind Knobs'!$B$16*(1-'03 Mind Knobs'!$B$8),0)))</x:f>
        <x:v>0</x:v>
      </x:c>
      <x:c r="M39" t="n">
        <x:f>--(OR(I39=1,J39=1,K39=1,L39=1))</x:f>
        <x:v>0</x:v>
      </x:c>
    </x:row>
    <x:row r="40">
      <x:c r="A40" t="n">
        <x:f>'00 Compact View'!A40</x:f>
        <x:v>2</x:v>
      </x:c>
      <x:c r="B40" t="n">
        <x:f>'00 Compact View'!B40</x:f>
        <x:v>15</x:v>
      </x:c>
      <x:c r="C40" s="12" t="n">
        <x:f>SUM('00 Compact View'!H40:L40)/5</x:f>
        <x:v>0</x:v>
      </x:c>
      <x:c r="D40" s="12" t="n">
        <x:f>SUM('00 Compact View'!M40:Q40)/5</x:f>
        <x:v>0</x:v>
      </x:c>
      <x:c r="E40" s="12" t="n">
        <x:f>'00 Compact View'!R40</x:f>
        <x:v>0</x:v>
      </x:c>
      <x:c r="F40" s="12" t="n">
        <x:f>'00 Compact View'!T40</x:f>
        <x:v>0</x:v>
      </x:c>
      <x:c r="G40" s="12" t="n">
        <x:f>'04 Resource Body'!$B$10</x:f>
        <x:v>0</x:v>
      </x:c>
      <x:c r="H40" t="n">
        <x:f>--(M40=0)</x:f>
        <x:v>1</x:v>
      </x:c>
      <x:c r="I40" t="n">
        <x:f>--(MIN(1,C40+D40+(E40*'03 Mind Knobs'!$B$17)+(F40*'03 Mind Knobs'!$B$18)+('03 Mind Knobs'!$B$7*F40))&gt;=MAX(0.15,0.35+(G40*'03 Mind Knobs'!$B$10)-('03 Mind Knobs'!$B$13*0.15)))</x:f>
        <x:v>0</x:v>
      </x:c>
      <x:c r="J40" t="n">
        <x:f>--(MIN(1,C40+D40+(E40*'03 Mind Knobs'!$B$17)+(F40*'03 Mind Knobs'!$B$18)+('03 Mind Knobs'!$B$7*F40))&gt;=MIN(0.95,'03 Mind Knobs'!$B$19+(G40*'03 Mind Knobs'!$B$10)-('03 Mind Knobs'!$B$13*0.10)))</x:f>
        <x:v>0</x:v>
      </x:c>
      <x:c r="K40" t="n">
        <x:f>--(AND(J40=1,OR(E40=1,F40=1)))</x:f>
        <x:v>0</x:v>
      </x:c>
      <x:c r="L40" t="n">
        <x:f>--(MAX(SUMIFS('00 Compact View'!$H$6:$H$205,'00 Compact View'!$A$6:$A$205,A40,'00 Compact View'!$B$6:$B$205,"&gt;="&amp;B40-'03 Mind Knobs'!$B$16+1,'00 Compact View'!$B$6:$B$205,"&lt;="&amp;B40),SUMIFS('00 Compact View'!$I$6:$I$205,'00 Compact View'!$A$6:$A$205,A40,'00 Compact View'!$B$6:$B$205,"&gt;="&amp;B40-'03 Mind Knobs'!$B$16+1,'00 Compact View'!$B$6:$B$205,"&lt;="&amp;B40),SUMIFS('00 Compact View'!$J$6:$J$205,'00 Compact View'!$A$6:$A$205,A40,'00 Compact View'!$B$6:$B$205,"&gt;="&amp;B40-'03 Mind Knobs'!$B$16+1,'00 Compact View'!$B$6:$B$205,"&lt;="&amp;B40),SUMIFS('00 Compact View'!$K$6:$K$205,'00 Compact View'!$A$6:$A$205,A40,'00 Compact View'!$B$6:$B$205,"&gt;="&amp;B40-'03 Mind Knobs'!$B$16+1,'00 Compact View'!$B$6:$B$205,"&lt;="&amp;B40),SUMIFS('00 Compact View'!$L$6:$L$205,'00 Compact View'!$A$6:$A$205,A40,'00 Compact View'!$B$6:$B$205,"&gt;="&amp;B40-'03 Mind Knobs'!$B$16+1,'00 Compact View'!$B$6:$B$205,"&lt;="&amp;B40))&gt;=MAX(1,ROUNDUP('03 Mind Knobs'!$B$16*(1-'03 Mind Knobs'!$B$8),0)))</x:f>
        <x:v>0</x:v>
      </x:c>
      <x:c r="M40" t="n">
        <x:f>--(OR(I40=1,J40=1,K40=1,L40=1))</x:f>
        <x:v>0</x:v>
      </x:c>
    </x:row>
    <x:row r="41">
      <x:c r="A41" t="n">
        <x:f>'00 Compact View'!A41</x:f>
        <x:v>2</x:v>
      </x:c>
      <x:c r="B41" t="n">
        <x:f>'00 Compact View'!B41</x:f>
        <x:v>16</x:v>
      </x:c>
      <x:c r="C41" s="12" t="n">
        <x:f>SUM('00 Compact View'!H41:L41)/5</x:f>
        <x:v>0</x:v>
      </x:c>
      <x:c r="D41" s="12" t="n">
        <x:f>SUM('00 Compact View'!M41:Q41)/5</x:f>
        <x:v>0</x:v>
      </x:c>
      <x:c r="E41" s="12" t="n">
        <x:f>'00 Compact View'!R41</x:f>
        <x:v>0</x:v>
      </x:c>
      <x:c r="F41" s="12" t="n">
        <x:f>'00 Compact View'!T41</x:f>
        <x:v>0</x:v>
      </x:c>
      <x:c r="G41" s="12" t="n">
        <x:f>'04 Resource Body'!$B$10</x:f>
        <x:v>0</x:v>
      </x:c>
      <x:c r="H41" t="n">
        <x:f>--(M41=0)</x:f>
        <x:v>1</x:v>
      </x:c>
      <x:c r="I41" t="n">
        <x:f>--(MIN(1,C41+D41+(E41*'03 Mind Knobs'!$B$17)+(F41*'03 Mind Knobs'!$B$18)+('03 Mind Knobs'!$B$7*F41))&gt;=MAX(0.15,0.35+(G41*'03 Mind Knobs'!$B$10)-('03 Mind Knobs'!$B$13*0.15)))</x:f>
        <x:v>0</x:v>
      </x:c>
      <x:c r="J41" t="n">
        <x:f>--(MIN(1,C41+D41+(E41*'03 Mind Knobs'!$B$17)+(F41*'03 Mind Knobs'!$B$18)+('03 Mind Knobs'!$B$7*F41))&gt;=MIN(0.95,'03 Mind Knobs'!$B$19+(G41*'03 Mind Knobs'!$B$10)-('03 Mind Knobs'!$B$13*0.10)))</x:f>
        <x:v>0</x:v>
      </x:c>
      <x:c r="K41" t="n">
        <x:f>--(AND(J41=1,OR(E41=1,F41=1)))</x:f>
        <x:v>0</x:v>
      </x:c>
      <x:c r="L41" t="n">
        <x:f>--(MAX(SUMIFS('00 Compact View'!$H$6:$H$205,'00 Compact View'!$A$6:$A$205,A41,'00 Compact View'!$B$6:$B$205,"&gt;="&amp;B41-'03 Mind Knobs'!$B$16+1,'00 Compact View'!$B$6:$B$205,"&lt;="&amp;B41),SUMIFS('00 Compact View'!$I$6:$I$205,'00 Compact View'!$A$6:$A$205,A41,'00 Compact View'!$B$6:$B$205,"&gt;="&amp;B41-'03 Mind Knobs'!$B$16+1,'00 Compact View'!$B$6:$B$205,"&lt;="&amp;B41),SUMIFS('00 Compact View'!$J$6:$J$205,'00 Compact View'!$A$6:$A$205,A41,'00 Compact View'!$B$6:$B$205,"&gt;="&amp;B41-'03 Mind Knobs'!$B$16+1,'00 Compact View'!$B$6:$B$205,"&lt;="&amp;B41),SUMIFS('00 Compact View'!$K$6:$K$205,'00 Compact View'!$A$6:$A$205,A41,'00 Compact View'!$B$6:$B$205,"&gt;="&amp;B41-'03 Mind Knobs'!$B$16+1,'00 Compact View'!$B$6:$B$205,"&lt;="&amp;B41),SUMIFS('00 Compact View'!$L$6:$L$205,'00 Compact View'!$A$6:$A$205,A41,'00 Compact View'!$B$6:$B$205,"&gt;="&amp;B41-'03 Mind Knobs'!$B$16+1,'00 Compact View'!$B$6:$B$205,"&lt;="&amp;B41))&gt;=MAX(1,ROUNDUP('03 Mind Knobs'!$B$16*(1-'03 Mind Knobs'!$B$8),0)))</x:f>
        <x:v>0</x:v>
      </x:c>
      <x:c r="M41" t="n">
        <x:f>--(OR(I41=1,J41=1,K41=1,L41=1))</x:f>
        <x:v>0</x:v>
      </x:c>
    </x:row>
    <x:row r="42">
      <x:c r="A42" t="n">
        <x:f>'00 Compact View'!A42</x:f>
        <x:v>2</x:v>
      </x:c>
      <x:c r="B42" t="n">
        <x:f>'00 Compact View'!B42</x:f>
        <x:v>17</x:v>
      </x:c>
      <x:c r="C42" s="12" t="n">
        <x:f>SUM('00 Compact View'!H42:L42)/5</x:f>
        <x:v>0</x:v>
      </x:c>
      <x:c r="D42" s="12" t="n">
        <x:f>SUM('00 Compact View'!M42:Q42)/5</x:f>
        <x:v>0</x:v>
      </x:c>
      <x:c r="E42" s="12" t="n">
        <x:f>'00 Compact View'!R42</x:f>
        <x:v>0</x:v>
      </x:c>
      <x:c r="F42" s="12" t="n">
        <x:f>'00 Compact View'!T42</x:f>
        <x:v>0</x:v>
      </x:c>
      <x:c r="G42" s="12" t="n">
        <x:f>'04 Resource Body'!$B$10</x:f>
        <x:v>0</x:v>
      </x:c>
      <x:c r="H42" t="n">
        <x:f>--(M42=0)</x:f>
        <x:v>1</x:v>
      </x:c>
      <x:c r="I42" t="n">
        <x:f>--(MIN(1,C42+D42+(E42*'03 Mind Knobs'!$B$17)+(F42*'03 Mind Knobs'!$B$18)+('03 Mind Knobs'!$B$7*F42))&gt;=MAX(0.15,0.35+(G42*'03 Mind Knobs'!$B$10)-('03 Mind Knobs'!$B$13*0.15)))</x:f>
        <x:v>0</x:v>
      </x:c>
      <x:c r="J42" t="n">
        <x:f>--(MIN(1,C42+D42+(E42*'03 Mind Knobs'!$B$17)+(F42*'03 Mind Knobs'!$B$18)+('03 Mind Knobs'!$B$7*F42))&gt;=MIN(0.95,'03 Mind Knobs'!$B$19+(G42*'03 Mind Knobs'!$B$10)-('03 Mind Knobs'!$B$13*0.10)))</x:f>
        <x:v>0</x:v>
      </x:c>
      <x:c r="K42" t="n">
        <x:f>--(AND(J42=1,OR(E42=1,F42=1)))</x:f>
        <x:v>0</x:v>
      </x:c>
      <x:c r="L42" t="n">
        <x:f>--(MAX(SUMIFS('00 Compact View'!$H$6:$H$205,'00 Compact View'!$A$6:$A$205,A42,'00 Compact View'!$B$6:$B$205,"&gt;="&amp;B42-'03 Mind Knobs'!$B$16+1,'00 Compact View'!$B$6:$B$205,"&lt;="&amp;B42),SUMIFS('00 Compact View'!$I$6:$I$205,'00 Compact View'!$A$6:$A$205,A42,'00 Compact View'!$B$6:$B$205,"&gt;="&amp;B42-'03 Mind Knobs'!$B$16+1,'00 Compact View'!$B$6:$B$205,"&lt;="&amp;B42),SUMIFS('00 Compact View'!$J$6:$J$205,'00 Compact View'!$A$6:$A$205,A42,'00 Compact View'!$B$6:$B$205,"&gt;="&amp;B42-'03 Mind Knobs'!$B$16+1,'00 Compact View'!$B$6:$B$205,"&lt;="&amp;B42),SUMIFS('00 Compact View'!$K$6:$K$205,'00 Compact View'!$A$6:$A$205,A42,'00 Compact View'!$B$6:$B$205,"&gt;="&amp;B42-'03 Mind Knobs'!$B$16+1,'00 Compact View'!$B$6:$B$205,"&lt;="&amp;B42),SUMIFS('00 Compact View'!$L$6:$L$205,'00 Compact View'!$A$6:$A$205,A42,'00 Compact View'!$B$6:$B$205,"&gt;="&amp;B42-'03 Mind Knobs'!$B$16+1,'00 Compact View'!$B$6:$B$205,"&lt;="&amp;B42))&gt;=MAX(1,ROUNDUP('03 Mind Knobs'!$B$16*(1-'03 Mind Knobs'!$B$8),0)))</x:f>
        <x:v>0</x:v>
      </x:c>
      <x:c r="M42" t="n">
        <x:f>--(OR(I42=1,J42=1,K42=1,L42=1))</x:f>
        <x:v>0</x:v>
      </x:c>
    </x:row>
    <x:row r="43">
      <x:c r="A43" t="n">
        <x:f>'00 Compact View'!A43</x:f>
        <x:v>2</x:v>
      </x:c>
      <x:c r="B43" t="n">
        <x:f>'00 Compact View'!B43</x:f>
        <x:v>18</x:v>
      </x:c>
      <x:c r="C43" s="12" t="n">
        <x:f>SUM('00 Compact View'!H43:L43)/5</x:f>
        <x:v>0</x:v>
      </x:c>
      <x:c r="D43" s="12" t="n">
        <x:f>SUM('00 Compact View'!M43:Q43)/5</x:f>
        <x:v>0</x:v>
      </x:c>
      <x:c r="E43" s="12" t="n">
        <x:f>'00 Compact View'!R43</x:f>
        <x:v>0</x:v>
      </x:c>
      <x:c r="F43" s="12" t="n">
        <x:f>'00 Compact View'!T43</x:f>
        <x:v>0</x:v>
      </x:c>
      <x:c r="G43" s="12" t="n">
        <x:f>'04 Resource Body'!$B$10</x:f>
        <x:v>0</x:v>
      </x:c>
      <x:c r="H43" t="n">
        <x:f>--(M43=0)</x:f>
        <x:v>1</x:v>
      </x:c>
      <x:c r="I43" t="n">
        <x:f>--(MIN(1,C43+D43+(E43*'03 Mind Knobs'!$B$17)+(F43*'03 Mind Knobs'!$B$18)+('03 Mind Knobs'!$B$7*F43))&gt;=MAX(0.15,0.35+(G43*'03 Mind Knobs'!$B$10)-('03 Mind Knobs'!$B$13*0.15)))</x:f>
        <x:v>0</x:v>
      </x:c>
      <x:c r="J43" t="n">
        <x:f>--(MIN(1,C43+D43+(E43*'03 Mind Knobs'!$B$17)+(F43*'03 Mind Knobs'!$B$18)+('03 Mind Knobs'!$B$7*F43))&gt;=MIN(0.95,'03 Mind Knobs'!$B$19+(G43*'03 Mind Knobs'!$B$10)-('03 Mind Knobs'!$B$13*0.10)))</x:f>
        <x:v>0</x:v>
      </x:c>
      <x:c r="K43" t="n">
        <x:f>--(AND(J43=1,OR(E43=1,F43=1)))</x:f>
        <x:v>0</x:v>
      </x:c>
      <x:c r="L43" t="n">
        <x:f>--(MAX(SUMIFS('00 Compact View'!$H$6:$H$205,'00 Compact View'!$A$6:$A$205,A43,'00 Compact View'!$B$6:$B$205,"&gt;="&amp;B43-'03 Mind Knobs'!$B$16+1,'00 Compact View'!$B$6:$B$205,"&lt;="&amp;B43),SUMIFS('00 Compact View'!$I$6:$I$205,'00 Compact View'!$A$6:$A$205,A43,'00 Compact View'!$B$6:$B$205,"&gt;="&amp;B43-'03 Mind Knobs'!$B$16+1,'00 Compact View'!$B$6:$B$205,"&lt;="&amp;B43),SUMIFS('00 Compact View'!$J$6:$J$205,'00 Compact View'!$A$6:$A$205,A43,'00 Compact View'!$B$6:$B$205,"&gt;="&amp;B43-'03 Mind Knobs'!$B$16+1,'00 Compact View'!$B$6:$B$205,"&lt;="&amp;B43),SUMIFS('00 Compact View'!$K$6:$K$205,'00 Compact View'!$A$6:$A$205,A43,'00 Compact View'!$B$6:$B$205,"&gt;="&amp;B43-'03 Mind Knobs'!$B$16+1,'00 Compact View'!$B$6:$B$205,"&lt;="&amp;B43),SUMIFS('00 Compact View'!$L$6:$L$205,'00 Compact View'!$A$6:$A$205,A43,'00 Compact View'!$B$6:$B$205,"&gt;="&amp;B43-'03 Mind Knobs'!$B$16+1,'00 Compact View'!$B$6:$B$205,"&lt;="&amp;B43))&gt;=MAX(1,ROUNDUP('03 Mind Knobs'!$B$16*(1-'03 Mind Knobs'!$B$8),0)))</x:f>
        <x:v>0</x:v>
      </x:c>
      <x:c r="M43" t="n">
        <x:f>--(OR(I43=1,J43=1,K43=1,L43=1))</x:f>
        <x:v>0</x:v>
      </x:c>
    </x:row>
    <x:row r="44">
      <x:c r="A44" t="n">
        <x:f>'00 Compact View'!A44</x:f>
        <x:v>2</x:v>
      </x:c>
      <x:c r="B44" t="n">
        <x:f>'00 Compact View'!B44</x:f>
        <x:v>19</x:v>
      </x:c>
      <x:c r="C44" s="12" t="n">
        <x:f>SUM('00 Compact View'!H44:L44)/5</x:f>
        <x:v>0</x:v>
      </x:c>
      <x:c r="D44" s="12" t="n">
        <x:f>SUM('00 Compact View'!M44:Q44)/5</x:f>
        <x:v>0</x:v>
      </x:c>
      <x:c r="E44" s="12" t="n">
        <x:f>'00 Compact View'!R44</x:f>
        <x:v>0</x:v>
      </x:c>
      <x:c r="F44" s="12" t="n">
        <x:f>'00 Compact View'!T44</x:f>
        <x:v>0</x:v>
      </x:c>
      <x:c r="G44" s="12" t="n">
        <x:f>'04 Resource Body'!$B$10</x:f>
        <x:v>0</x:v>
      </x:c>
      <x:c r="H44" t="n">
        <x:f>--(M44=0)</x:f>
        <x:v>1</x:v>
      </x:c>
      <x:c r="I44" t="n">
        <x:f>--(MIN(1,C44+D44+(E44*'03 Mind Knobs'!$B$17)+(F44*'03 Mind Knobs'!$B$18)+('03 Mind Knobs'!$B$7*F44))&gt;=MAX(0.15,0.35+(G44*'03 Mind Knobs'!$B$10)-('03 Mind Knobs'!$B$13*0.15)))</x:f>
        <x:v>0</x:v>
      </x:c>
      <x:c r="J44" t="n">
        <x:f>--(MIN(1,C44+D44+(E44*'03 Mind Knobs'!$B$17)+(F44*'03 Mind Knobs'!$B$18)+('03 Mind Knobs'!$B$7*F44))&gt;=MIN(0.95,'03 Mind Knobs'!$B$19+(G44*'03 Mind Knobs'!$B$10)-('03 Mind Knobs'!$B$13*0.10)))</x:f>
        <x:v>0</x:v>
      </x:c>
      <x:c r="K44" t="n">
        <x:f>--(AND(J44=1,OR(E44=1,F44=1)))</x:f>
        <x:v>0</x:v>
      </x:c>
      <x:c r="L44" t="n">
        <x:f>--(MAX(SUMIFS('00 Compact View'!$H$6:$H$205,'00 Compact View'!$A$6:$A$205,A44,'00 Compact View'!$B$6:$B$205,"&gt;="&amp;B44-'03 Mind Knobs'!$B$16+1,'00 Compact View'!$B$6:$B$205,"&lt;="&amp;B44),SUMIFS('00 Compact View'!$I$6:$I$205,'00 Compact View'!$A$6:$A$205,A44,'00 Compact View'!$B$6:$B$205,"&gt;="&amp;B44-'03 Mind Knobs'!$B$16+1,'00 Compact View'!$B$6:$B$205,"&lt;="&amp;B44),SUMIFS('00 Compact View'!$J$6:$J$205,'00 Compact View'!$A$6:$A$205,A44,'00 Compact View'!$B$6:$B$205,"&gt;="&amp;B44-'03 Mind Knobs'!$B$16+1,'00 Compact View'!$B$6:$B$205,"&lt;="&amp;B44),SUMIFS('00 Compact View'!$K$6:$K$205,'00 Compact View'!$A$6:$A$205,A44,'00 Compact View'!$B$6:$B$205,"&gt;="&amp;B44-'03 Mind Knobs'!$B$16+1,'00 Compact View'!$B$6:$B$205,"&lt;="&amp;B44),SUMIFS('00 Compact View'!$L$6:$L$205,'00 Compact View'!$A$6:$A$205,A44,'00 Compact View'!$B$6:$B$205,"&gt;="&amp;B44-'03 Mind Knobs'!$B$16+1,'00 Compact View'!$B$6:$B$205,"&lt;="&amp;B44))&gt;=MAX(1,ROUNDUP('03 Mind Knobs'!$B$16*(1-'03 Mind Knobs'!$B$8),0)))</x:f>
        <x:v>0</x:v>
      </x:c>
      <x:c r="M44" t="n">
        <x:f>--(OR(I44=1,J44=1,K44=1,L44=1))</x:f>
        <x:v>0</x:v>
      </x:c>
    </x:row>
    <x:row r="45">
      <x:c r="A45" t="n">
        <x:f>'00 Compact View'!A45</x:f>
        <x:v>2</x:v>
      </x:c>
      <x:c r="B45" t="n">
        <x:f>'00 Compact View'!B45</x:f>
        <x:v>20</x:v>
      </x:c>
      <x:c r="C45" s="12" t="n">
        <x:f>SUM('00 Compact View'!H45:L45)/5</x:f>
        <x:v>0</x:v>
      </x:c>
      <x:c r="D45" s="12" t="n">
        <x:f>SUM('00 Compact View'!M45:Q45)/5</x:f>
        <x:v>0</x:v>
      </x:c>
      <x:c r="E45" s="12" t="n">
        <x:f>'00 Compact View'!R45</x:f>
        <x:v>0</x:v>
      </x:c>
      <x:c r="F45" s="12" t="n">
        <x:f>'00 Compact View'!T45</x:f>
        <x:v>0</x:v>
      </x:c>
      <x:c r="G45" s="12" t="n">
        <x:f>'04 Resource Body'!$B$10</x:f>
        <x:v>0</x:v>
      </x:c>
      <x:c r="H45" t="n">
        <x:f>--(M45=0)</x:f>
        <x:v>1</x:v>
      </x:c>
      <x:c r="I45" t="n">
        <x:f>--(MIN(1,C45+D45+(E45*'03 Mind Knobs'!$B$17)+(F45*'03 Mind Knobs'!$B$18)+('03 Mind Knobs'!$B$7*F45))&gt;=MAX(0.15,0.35+(G45*'03 Mind Knobs'!$B$10)-('03 Mind Knobs'!$B$13*0.15)))</x:f>
        <x:v>0</x:v>
      </x:c>
      <x:c r="J45" t="n">
        <x:f>--(MIN(1,C45+D45+(E45*'03 Mind Knobs'!$B$17)+(F45*'03 Mind Knobs'!$B$18)+('03 Mind Knobs'!$B$7*F45))&gt;=MIN(0.95,'03 Mind Knobs'!$B$19+(G45*'03 Mind Knobs'!$B$10)-('03 Mind Knobs'!$B$13*0.10)))</x:f>
        <x:v>0</x:v>
      </x:c>
      <x:c r="K45" t="n">
        <x:f>--(AND(J45=1,OR(E45=1,F45=1)))</x:f>
        <x:v>0</x:v>
      </x:c>
      <x:c r="L45" t="n">
        <x:f>--(MAX(SUMIFS('00 Compact View'!$H$6:$H$205,'00 Compact View'!$A$6:$A$205,A45,'00 Compact View'!$B$6:$B$205,"&gt;="&amp;B45-'03 Mind Knobs'!$B$16+1,'00 Compact View'!$B$6:$B$205,"&lt;="&amp;B45),SUMIFS('00 Compact View'!$I$6:$I$205,'00 Compact View'!$A$6:$A$205,A45,'00 Compact View'!$B$6:$B$205,"&gt;="&amp;B45-'03 Mind Knobs'!$B$16+1,'00 Compact View'!$B$6:$B$205,"&lt;="&amp;B45),SUMIFS('00 Compact View'!$J$6:$J$205,'00 Compact View'!$A$6:$A$205,A45,'00 Compact View'!$B$6:$B$205,"&gt;="&amp;B45-'03 Mind Knobs'!$B$16+1,'00 Compact View'!$B$6:$B$205,"&lt;="&amp;B45),SUMIFS('00 Compact View'!$K$6:$K$205,'00 Compact View'!$A$6:$A$205,A45,'00 Compact View'!$B$6:$B$205,"&gt;="&amp;B45-'03 Mind Knobs'!$B$16+1,'00 Compact View'!$B$6:$B$205,"&lt;="&amp;B45),SUMIFS('00 Compact View'!$L$6:$L$205,'00 Compact View'!$A$6:$A$205,A45,'00 Compact View'!$B$6:$B$205,"&gt;="&amp;B45-'03 Mind Knobs'!$B$16+1,'00 Compact View'!$B$6:$B$205,"&lt;="&amp;B45))&gt;=MAX(1,ROUNDUP('03 Mind Knobs'!$B$16*(1-'03 Mind Knobs'!$B$8),0)))</x:f>
        <x:v>0</x:v>
      </x:c>
      <x:c r="M45" t="n">
        <x:f>--(OR(I45=1,J45=1,K45=1,L45=1))</x:f>
        <x:v>0</x:v>
      </x:c>
    </x:row>
    <x:row r="46">
      <x:c r="A46" t="n">
        <x:f>'00 Compact View'!A46</x:f>
        <x:v>3</x:v>
      </x:c>
      <x:c r="B46" t="n">
        <x:f>'00 Compact View'!B46</x:f>
        <x:v>1</x:v>
      </x:c>
      <x:c r="C46" s="12" t="n">
        <x:f>SUM('00 Compact View'!H46:L46)/5</x:f>
        <x:v>0</x:v>
      </x:c>
      <x:c r="D46" s="12" t="n">
        <x:f>SUM('00 Compact View'!M46:Q46)/5</x:f>
        <x:v>0</x:v>
      </x:c>
      <x:c r="E46" s="12" t="n">
        <x:f>'00 Compact View'!R46</x:f>
        <x:v>0</x:v>
      </x:c>
      <x:c r="F46" s="12" t="n">
        <x:f>'00 Compact View'!T46</x:f>
        <x:v>0</x:v>
      </x:c>
      <x:c r="G46" s="12" t="n">
        <x:f>'04 Resource Body'!$B$10</x:f>
        <x:v>0</x:v>
      </x:c>
      <x:c r="H46" t="n">
        <x:f>--(M46=0)</x:f>
        <x:v>1</x:v>
      </x:c>
      <x:c r="I46" t="n">
        <x:f>--(MIN(1,C46+D46+(E46*'03 Mind Knobs'!$B$17)+(F46*'03 Mind Knobs'!$B$18)+('03 Mind Knobs'!$B$7*F46))&gt;=MAX(0.15,0.35+(G46*'03 Mind Knobs'!$B$10)-('03 Mind Knobs'!$B$13*0.15)))</x:f>
        <x:v>0</x:v>
      </x:c>
      <x:c r="J46" t="n">
        <x:f>--(MIN(1,C46+D46+(E46*'03 Mind Knobs'!$B$17)+(F46*'03 Mind Knobs'!$B$18)+('03 Mind Knobs'!$B$7*F46))&gt;=MIN(0.95,'03 Mind Knobs'!$B$19+(G46*'03 Mind Knobs'!$B$10)-('03 Mind Knobs'!$B$13*0.10)))</x:f>
        <x:v>0</x:v>
      </x:c>
      <x:c r="K46" t="n">
        <x:f>--(AND(J46=1,OR(E46=1,F46=1)))</x:f>
        <x:v>0</x:v>
      </x:c>
      <x:c r="L46" t="n">
        <x:f>--(MAX(SUMIFS('00 Compact View'!$H$6:$H$205,'00 Compact View'!$A$6:$A$205,A46,'00 Compact View'!$B$6:$B$205,"&gt;="&amp;B46-'03 Mind Knobs'!$B$16+1,'00 Compact View'!$B$6:$B$205,"&lt;="&amp;B46),SUMIFS('00 Compact View'!$I$6:$I$205,'00 Compact View'!$A$6:$A$205,A46,'00 Compact View'!$B$6:$B$205,"&gt;="&amp;B46-'03 Mind Knobs'!$B$16+1,'00 Compact View'!$B$6:$B$205,"&lt;="&amp;B46),SUMIFS('00 Compact View'!$J$6:$J$205,'00 Compact View'!$A$6:$A$205,A46,'00 Compact View'!$B$6:$B$205,"&gt;="&amp;B46-'03 Mind Knobs'!$B$16+1,'00 Compact View'!$B$6:$B$205,"&lt;="&amp;B46),SUMIFS('00 Compact View'!$K$6:$K$205,'00 Compact View'!$A$6:$A$205,A46,'00 Compact View'!$B$6:$B$205,"&gt;="&amp;B46-'03 Mind Knobs'!$B$16+1,'00 Compact View'!$B$6:$B$205,"&lt;="&amp;B46),SUMIFS('00 Compact View'!$L$6:$L$205,'00 Compact View'!$A$6:$A$205,A46,'00 Compact View'!$B$6:$B$205,"&gt;="&amp;B46-'03 Mind Knobs'!$B$16+1,'00 Compact View'!$B$6:$B$205,"&lt;="&amp;B46))&gt;=MAX(1,ROUNDUP('03 Mind Knobs'!$B$16*(1-'03 Mind Knobs'!$B$8),0)))</x:f>
        <x:v>0</x:v>
      </x:c>
      <x:c r="M46" t="n">
        <x:f>--(OR(I46=1,J46=1,K46=1,L46=1))</x:f>
        <x:v>0</x:v>
      </x:c>
    </x:row>
    <x:row r="47">
      <x:c r="A47" t="n">
        <x:f>'00 Compact View'!A47</x:f>
        <x:v>3</x:v>
      </x:c>
      <x:c r="B47" t="n">
        <x:f>'00 Compact View'!B47</x:f>
        <x:v>2</x:v>
      </x:c>
      <x:c r="C47" s="12" t="n">
        <x:f>SUM('00 Compact View'!H47:L47)/5</x:f>
        <x:v>0</x:v>
      </x:c>
      <x:c r="D47" s="12" t="n">
        <x:f>SUM('00 Compact View'!M47:Q47)/5</x:f>
        <x:v>0</x:v>
      </x:c>
      <x:c r="E47" s="12" t="n">
        <x:f>'00 Compact View'!R47</x:f>
        <x:v>0</x:v>
      </x:c>
      <x:c r="F47" s="12" t="n">
        <x:f>'00 Compact View'!T47</x:f>
        <x:v>0</x:v>
      </x:c>
      <x:c r="G47" s="12" t="n">
        <x:f>'04 Resource Body'!$B$10</x:f>
        <x:v>0</x:v>
      </x:c>
      <x:c r="H47" t="n">
        <x:f>--(M47=0)</x:f>
        <x:v>1</x:v>
      </x:c>
      <x:c r="I47" t="n">
        <x:f>--(MIN(1,C47+D47+(E47*'03 Mind Knobs'!$B$17)+(F47*'03 Mind Knobs'!$B$18)+('03 Mind Knobs'!$B$7*F47))&gt;=MAX(0.15,0.35+(G47*'03 Mind Knobs'!$B$10)-('03 Mind Knobs'!$B$13*0.15)))</x:f>
        <x:v>0</x:v>
      </x:c>
      <x:c r="J47" t="n">
        <x:f>--(MIN(1,C47+D47+(E47*'03 Mind Knobs'!$B$17)+(F47*'03 Mind Knobs'!$B$18)+('03 Mind Knobs'!$B$7*F47))&gt;=MIN(0.95,'03 Mind Knobs'!$B$19+(G47*'03 Mind Knobs'!$B$10)-('03 Mind Knobs'!$B$13*0.10)))</x:f>
        <x:v>0</x:v>
      </x:c>
      <x:c r="K47" t="n">
        <x:f>--(AND(J47=1,OR(E47=1,F47=1)))</x:f>
        <x:v>0</x:v>
      </x:c>
      <x:c r="L47" t="n">
        <x:f>--(MAX(SUMIFS('00 Compact View'!$H$6:$H$205,'00 Compact View'!$A$6:$A$205,A47,'00 Compact View'!$B$6:$B$205,"&gt;="&amp;B47-'03 Mind Knobs'!$B$16+1,'00 Compact View'!$B$6:$B$205,"&lt;="&amp;B47),SUMIFS('00 Compact View'!$I$6:$I$205,'00 Compact View'!$A$6:$A$205,A47,'00 Compact View'!$B$6:$B$205,"&gt;="&amp;B47-'03 Mind Knobs'!$B$16+1,'00 Compact View'!$B$6:$B$205,"&lt;="&amp;B47),SUMIFS('00 Compact View'!$J$6:$J$205,'00 Compact View'!$A$6:$A$205,A47,'00 Compact View'!$B$6:$B$205,"&gt;="&amp;B47-'03 Mind Knobs'!$B$16+1,'00 Compact View'!$B$6:$B$205,"&lt;="&amp;B47),SUMIFS('00 Compact View'!$K$6:$K$205,'00 Compact View'!$A$6:$A$205,A47,'00 Compact View'!$B$6:$B$205,"&gt;="&amp;B47-'03 Mind Knobs'!$B$16+1,'00 Compact View'!$B$6:$B$205,"&lt;="&amp;B47),SUMIFS('00 Compact View'!$L$6:$L$205,'00 Compact View'!$A$6:$A$205,A47,'00 Compact View'!$B$6:$B$205,"&gt;="&amp;B47-'03 Mind Knobs'!$B$16+1,'00 Compact View'!$B$6:$B$205,"&lt;="&amp;B47))&gt;=MAX(1,ROUNDUP('03 Mind Knobs'!$B$16*(1-'03 Mind Knobs'!$B$8),0)))</x:f>
        <x:v>0</x:v>
      </x:c>
      <x:c r="M47" t="n">
        <x:f>--(OR(I47=1,J47=1,K47=1,L47=1))</x:f>
        <x:v>0</x:v>
      </x:c>
    </x:row>
    <x:row r="48">
      <x:c r="A48" t="n">
        <x:f>'00 Compact View'!A48</x:f>
        <x:v>3</x:v>
      </x:c>
      <x:c r="B48" t="n">
        <x:f>'00 Compact View'!B48</x:f>
        <x:v>3</x:v>
      </x:c>
      <x:c r="C48" s="12" t="n">
        <x:f>SUM('00 Compact View'!H48:L48)/5</x:f>
        <x:v>0</x:v>
      </x:c>
      <x:c r="D48" s="12" t="n">
        <x:f>SUM('00 Compact View'!M48:Q48)/5</x:f>
        <x:v>0</x:v>
      </x:c>
      <x:c r="E48" s="12" t="n">
        <x:f>'00 Compact View'!R48</x:f>
        <x:v>0</x:v>
      </x:c>
      <x:c r="F48" s="12" t="n">
        <x:f>'00 Compact View'!T48</x:f>
        <x:v>0</x:v>
      </x:c>
      <x:c r="G48" s="12" t="n">
        <x:f>'04 Resource Body'!$B$10</x:f>
        <x:v>0</x:v>
      </x:c>
      <x:c r="H48" t="n">
        <x:f>--(M48=0)</x:f>
        <x:v>1</x:v>
      </x:c>
      <x:c r="I48" t="n">
        <x:f>--(MIN(1,C48+D48+(E48*'03 Mind Knobs'!$B$17)+(F48*'03 Mind Knobs'!$B$18)+('03 Mind Knobs'!$B$7*F48))&gt;=MAX(0.15,0.35+(G48*'03 Mind Knobs'!$B$10)-('03 Mind Knobs'!$B$13*0.15)))</x:f>
        <x:v>0</x:v>
      </x:c>
      <x:c r="J48" t="n">
        <x:f>--(MIN(1,C48+D48+(E48*'03 Mind Knobs'!$B$17)+(F48*'03 Mind Knobs'!$B$18)+('03 Mind Knobs'!$B$7*F48))&gt;=MIN(0.95,'03 Mind Knobs'!$B$19+(G48*'03 Mind Knobs'!$B$10)-('03 Mind Knobs'!$B$13*0.10)))</x:f>
        <x:v>0</x:v>
      </x:c>
      <x:c r="K48" t="n">
        <x:f>--(AND(J48=1,OR(E48=1,F48=1)))</x:f>
        <x:v>0</x:v>
      </x:c>
      <x:c r="L48" t="n">
        <x:f>--(MAX(SUMIFS('00 Compact View'!$H$6:$H$205,'00 Compact View'!$A$6:$A$205,A48,'00 Compact View'!$B$6:$B$205,"&gt;="&amp;B48-'03 Mind Knobs'!$B$16+1,'00 Compact View'!$B$6:$B$205,"&lt;="&amp;B48),SUMIFS('00 Compact View'!$I$6:$I$205,'00 Compact View'!$A$6:$A$205,A48,'00 Compact View'!$B$6:$B$205,"&gt;="&amp;B48-'03 Mind Knobs'!$B$16+1,'00 Compact View'!$B$6:$B$205,"&lt;="&amp;B48),SUMIFS('00 Compact View'!$J$6:$J$205,'00 Compact View'!$A$6:$A$205,A48,'00 Compact View'!$B$6:$B$205,"&gt;="&amp;B48-'03 Mind Knobs'!$B$16+1,'00 Compact View'!$B$6:$B$205,"&lt;="&amp;B48),SUMIFS('00 Compact View'!$K$6:$K$205,'00 Compact View'!$A$6:$A$205,A48,'00 Compact View'!$B$6:$B$205,"&gt;="&amp;B48-'03 Mind Knobs'!$B$16+1,'00 Compact View'!$B$6:$B$205,"&lt;="&amp;B48),SUMIFS('00 Compact View'!$L$6:$L$205,'00 Compact View'!$A$6:$A$205,A48,'00 Compact View'!$B$6:$B$205,"&gt;="&amp;B48-'03 Mind Knobs'!$B$16+1,'00 Compact View'!$B$6:$B$205,"&lt;="&amp;B48))&gt;=MAX(1,ROUNDUP('03 Mind Knobs'!$B$16*(1-'03 Mind Knobs'!$B$8),0)))</x:f>
        <x:v>0</x:v>
      </x:c>
      <x:c r="M48" t="n">
        <x:f>--(OR(I48=1,J48=1,K48=1,L48=1))</x:f>
        <x:v>0</x:v>
      </x:c>
    </x:row>
    <x:row r="49">
      <x:c r="A49" t="n">
        <x:f>'00 Compact View'!A49</x:f>
        <x:v>3</x:v>
      </x:c>
      <x:c r="B49" t="n">
        <x:f>'00 Compact View'!B49</x:f>
        <x:v>4</x:v>
      </x:c>
      <x:c r="C49" s="12" t="n">
        <x:f>SUM('00 Compact View'!H49:L49)/5</x:f>
        <x:v>0</x:v>
      </x:c>
      <x:c r="D49" s="12" t="n">
        <x:f>SUM('00 Compact View'!M49:Q49)/5</x:f>
        <x:v>0</x:v>
      </x:c>
      <x:c r="E49" s="12" t="n">
        <x:f>'00 Compact View'!R49</x:f>
        <x:v>0</x:v>
      </x:c>
      <x:c r="F49" s="12" t="n">
        <x:f>'00 Compact View'!T49</x:f>
        <x:v>0</x:v>
      </x:c>
      <x:c r="G49" s="12" t="n">
        <x:f>'04 Resource Body'!$B$10</x:f>
        <x:v>0</x:v>
      </x:c>
      <x:c r="H49" t="n">
        <x:f>--(M49=0)</x:f>
        <x:v>1</x:v>
      </x:c>
      <x:c r="I49" t="n">
        <x:f>--(MIN(1,C49+D49+(E49*'03 Mind Knobs'!$B$17)+(F49*'03 Mind Knobs'!$B$18)+('03 Mind Knobs'!$B$7*F49))&gt;=MAX(0.15,0.35+(G49*'03 Mind Knobs'!$B$10)-('03 Mind Knobs'!$B$13*0.15)))</x:f>
        <x:v>0</x:v>
      </x:c>
      <x:c r="J49" t="n">
        <x:f>--(MIN(1,C49+D49+(E49*'03 Mind Knobs'!$B$17)+(F49*'03 Mind Knobs'!$B$18)+('03 Mind Knobs'!$B$7*F49))&gt;=MIN(0.95,'03 Mind Knobs'!$B$19+(G49*'03 Mind Knobs'!$B$10)-('03 Mind Knobs'!$B$13*0.10)))</x:f>
        <x:v>0</x:v>
      </x:c>
      <x:c r="K49" t="n">
        <x:f>--(AND(J49=1,OR(E49=1,F49=1)))</x:f>
        <x:v>0</x:v>
      </x:c>
      <x:c r="L49" t="n">
        <x:f>--(MAX(SUMIFS('00 Compact View'!$H$6:$H$205,'00 Compact View'!$A$6:$A$205,A49,'00 Compact View'!$B$6:$B$205,"&gt;="&amp;B49-'03 Mind Knobs'!$B$16+1,'00 Compact View'!$B$6:$B$205,"&lt;="&amp;B49),SUMIFS('00 Compact View'!$I$6:$I$205,'00 Compact View'!$A$6:$A$205,A49,'00 Compact View'!$B$6:$B$205,"&gt;="&amp;B49-'03 Mind Knobs'!$B$16+1,'00 Compact View'!$B$6:$B$205,"&lt;="&amp;B49),SUMIFS('00 Compact View'!$J$6:$J$205,'00 Compact View'!$A$6:$A$205,A49,'00 Compact View'!$B$6:$B$205,"&gt;="&amp;B49-'03 Mind Knobs'!$B$16+1,'00 Compact View'!$B$6:$B$205,"&lt;="&amp;B49),SUMIFS('00 Compact View'!$K$6:$K$205,'00 Compact View'!$A$6:$A$205,A49,'00 Compact View'!$B$6:$B$205,"&gt;="&amp;B49-'03 Mind Knobs'!$B$16+1,'00 Compact View'!$B$6:$B$205,"&lt;="&amp;B49),SUMIFS('00 Compact View'!$L$6:$L$205,'00 Compact View'!$A$6:$A$205,A49,'00 Compact View'!$B$6:$B$205,"&gt;="&amp;B49-'03 Mind Knobs'!$B$16+1,'00 Compact View'!$B$6:$B$205,"&lt;="&amp;B49))&gt;=MAX(1,ROUNDUP('03 Mind Knobs'!$B$16*(1-'03 Mind Knobs'!$B$8),0)))</x:f>
        <x:v>0</x:v>
      </x:c>
      <x:c r="M49" t="n">
        <x:f>--(OR(I49=1,J49=1,K49=1,L49=1))</x:f>
        <x:v>0</x:v>
      </x:c>
    </x:row>
    <x:row r="50">
      <x:c r="A50" t="n">
        <x:f>'00 Compact View'!A50</x:f>
        <x:v>3</x:v>
      </x:c>
      <x:c r="B50" t="n">
        <x:f>'00 Compact View'!B50</x:f>
        <x:v>5</x:v>
      </x:c>
      <x:c r="C50" s="12" t="n">
        <x:f>SUM('00 Compact View'!H50:L50)/5</x:f>
        <x:v>0</x:v>
      </x:c>
      <x:c r="D50" s="12" t="n">
        <x:f>SUM('00 Compact View'!M50:Q50)/5</x:f>
        <x:v>0</x:v>
      </x:c>
      <x:c r="E50" s="12" t="n">
        <x:f>'00 Compact View'!R50</x:f>
        <x:v>0</x:v>
      </x:c>
      <x:c r="F50" s="12" t="n">
        <x:f>'00 Compact View'!T50</x:f>
        <x:v>0</x:v>
      </x:c>
      <x:c r="G50" s="12" t="n">
        <x:f>'04 Resource Body'!$B$10</x:f>
        <x:v>0</x:v>
      </x:c>
      <x:c r="H50" t="n">
        <x:f>--(M50=0)</x:f>
        <x:v>1</x:v>
      </x:c>
      <x:c r="I50" t="n">
        <x:f>--(MIN(1,C50+D50+(E50*'03 Mind Knobs'!$B$17)+(F50*'03 Mind Knobs'!$B$18)+('03 Mind Knobs'!$B$7*F50))&gt;=MAX(0.15,0.35+(G50*'03 Mind Knobs'!$B$10)-('03 Mind Knobs'!$B$13*0.15)))</x:f>
        <x:v>0</x:v>
      </x:c>
      <x:c r="J50" t="n">
        <x:f>--(MIN(1,C50+D50+(E50*'03 Mind Knobs'!$B$17)+(F50*'03 Mind Knobs'!$B$18)+('03 Mind Knobs'!$B$7*F50))&gt;=MIN(0.95,'03 Mind Knobs'!$B$19+(G50*'03 Mind Knobs'!$B$10)-('03 Mind Knobs'!$B$13*0.10)))</x:f>
        <x:v>0</x:v>
      </x:c>
      <x:c r="K50" t="n">
        <x:f>--(AND(J50=1,OR(E50=1,F50=1)))</x:f>
        <x:v>0</x:v>
      </x:c>
      <x:c r="L50" t="n">
        <x:f>--(MAX(SUMIFS('00 Compact View'!$H$6:$H$205,'00 Compact View'!$A$6:$A$205,A50,'00 Compact View'!$B$6:$B$205,"&gt;="&amp;B50-'03 Mind Knobs'!$B$16+1,'00 Compact View'!$B$6:$B$205,"&lt;="&amp;B50),SUMIFS('00 Compact View'!$I$6:$I$205,'00 Compact View'!$A$6:$A$205,A50,'00 Compact View'!$B$6:$B$205,"&gt;="&amp;B50-'03 Mind Knobs'!$B$16+1,'00 Compact View'!$B$6:$B$205,"&lt;="&amp;B50),SUMIFS('00 Compact View'!$J$6:$J$205,'00 Compact View'!$A$6:$A$205,A50,'00 Compact View'!$B$6:$B$205,"&gt;="&amp;B50-'03 Mind Knobs'!$B$16+1,'00 Compact View'!$B$6:$B$205,"&lt;="&amp;B50),SUMIFS('00 Compact View'!$K$6:$K$205,'00 Compact View'!$A$6:$A$205,A50,'00 Compact View'!$B$6:$B$205,"&gt;="&amp;B50-'03 Mind Knobs'!$B$16+1,'00 Compact View'!$B$6:$B$205,"&lt;="&amp;B50),SUMIFS('00 Compact View'!$L$6:$L$205,'00 Compact View'!$A$6:$A$205,A50,'00 Compact View'!$B$6:$B$205,"&gt;="&amp;B50-'03 Mind Knobs'!$B$16+1,'00 Compact View'!$B$6:$B$205,"&lt;="&amp;B50))&gt;=MAX(1,ROUNDUP('03 Mind Knobs'!$B$16*(1-'03 Mind Knobs'!$B$8),0)))</x:f>
        <x:v>0</x:v>
      </x:c>
      <x:c r="M50" t="n">
        <x:f>--(OR(I50=1,J50=1,K50=1,L50=1))</x:f>
        <x:v>0</x:v>
      </x:c>
    </x:row>
    <x:row r="51">
      <x:c r="A51" t="n">
        <x:f>'00 Compact View'!A51</x:f>
        <x:v>3</x:v>
      </x:c>
      <x:c r="B51" t="n">
        <x:f>'00 Compact View'!B51</x:f>
        <x:v>6</x:v>
      </x:c>
      <x:c r="C51" s="12" t="n">
        <x:f>SUM('00 Compact View'!H51:L51)/5</x:f>
        <x:v>0</x:v>
      </x:c>
      <x:c r="D51" s="12" t="n">
        <x:f>SUM('00 Compact View'!M51:Q51)/5</x:f>
        <x:v>0</x:v>
      </x:c>
      <x:c r="E51" s="12" t="n">
        <x:f>'00 Compact View'!R51</x:f>
        <x:v>0</x:v>
      </x:c>
      <x:c r="F51" s="12" t="n">
        <x:f>'00 Compact View'!T51</x:f>
        <x:v>0</x:v>
      </x:c>
      <x:c r="G51" s="12" t="n">
        <x:f>'04 Resource Body'!$B$10</x:f>
        <x:v>0</x:v>
      </x:c>
      <x:c r="H51" t="n">
        <x:f>--(M51=0)</x:f>
        <x:v>1</x:v>
      </x:c>
      <x:c r="I51" t="n">
        <x:f>--(MIN(1,C51+D51+(E51*'03 Mind Knobs'!$B$17)+(F51*'03 Mind Knobs'!$B$18)+('03 Mind Knobs'!$B$7*F51))&gt;=MAX(0.15,0.35+(G51*'03 Mind Knobs'!$B$10)-('03 Mind Knobs'!$B$13*0.15)))</x:f>
        <x:v>0</x:v>
      </x:c>
      <x:c r="J51" t="n">
        <x:f>--(MIN(1,C51+D51+(E51*'03 Mind Knobs'!$B$17)+(F51*'03 Mind Knobs'!$B$18)+('03 Mind Knobs'!$B$7*F51))&gt;=MIN(0.95,'03 Mind Knobs'!$B$19+(G51*'03 Mind Knobs'!$B$10)-('03 Mind Knobs'!$B$13*0.10)))</x:f>
        <x:v>0</x:v>
      </x:c>
      <x:c r="K51" t="n">
        <x:f>--(AND(J51=1,OR(E51=1,F51=1)))</x:f>
        <x:v>0</x:v>
      </x:c>
      <x:c r="L51" t="n">
        <x:f>--(MAX(SUMIFS('00 Compact View'!$H$6:$H$205,'00 Compact View'!$A$6:$A$205,A51,'00 Compact View'!$B$6:$B$205,"&gt;="&amp;B51-'03 Mind Knobs'!$B$16+1,'00 Compact View'!$B$6:$B$205,"&lt;="&amp;B51),SUMIFS('00 Compact View'!$I$6:$I$205,'00 Compact View'!$A$6:$A$205,A51,'00 Compact View'!$B$6:$B$205,"&gt;="&amp;B51-'03 Mind Knobs'!$B$16+1,'00 Compact View'!$B$6:$B$205,"&lt;="&amp;B51),SUMIFS('00 Compact View'!$J$6:$J$205,'00 Compact View'!$A$6:$A$205,A51,'00 Compact View'!$B$6:$B$205,"&gt;="&amp;B51-'03 Mind Knobs'!$B$16+1,'00 Compact View'!$B$6:$B$205,"&lt;="&amp;B51),SUMIFS('00 Compact View'!$K$6:$K$205,'00 Compact View'!$A$6:$A$205,A51,'00 Compact View'!$B$6:$B$205,"&gt;="&amp;B51-'03 Mind Knobs'!$B$16+1,'00 Compact View'!$B$6:$B$205,"&lt;="&amp;B51),SUMIFS('00 Compact View'!$L$6:$L$205,'00 Compact View'!$A$6:$A$205,A51,'00 Compact View'!$B$6:$B$205,"&gt;="&amp;B51-'03 Mind Knobs'!$B$16+1,'00 Compact View'!$B$6:$B$205,"&lt;="&amp;B51))&gt;=MAX(1,ROUNDUP('03 Mind Knobs'!$B$16*(1-'03 Mind Knobs'!$B$8),0)))</x:f>
        <x:v>0</x:v>
      </x:c>
      <x:c r="M51" t="n">
        <x:f>--(OR(I51=1,J51=1,K51=1,L51=1))</x:f>
        <x:v>0</x:v>
      </x:c>
    </x:row>
    <x:row r="52">
      <x:c r="A52" t="n">
        <x:f>'00 Compact View'!A52</x:f>
        <x:v>3</x:v>
      </x:c>
      <x:c r="B52" t="n">
        <x:f>'00 Compact View'!B52</x:f>
        <x:v>7</x:v>
      </x:c>
      <x:c r="C52" s="12" t="n">
        <x:f>SUM('00 Compact View'!H52:L52)/5</x:f>
        <x:v>0</x:v>
      </x:c>
      <x:c r="D52" s="12" t="n">
        <x:f>SUM('00 Compact View'!M52:Q52)/5</x:f>
        <x:v>0</x:v>
      </x:c>
      <x:c r="E52" s="12" t="n">
        <x:f>'00 Compact View'!R52</x:f>
        <x:v>0</x:v>
      </x:c>
      <x:c r="F52" s="12" t="n">
        <x:f>'00 Compact View'!T52</x:f>
        <x:v>0</x:v>
      </x:c>
      <x:c r="G52" s="12" t="n">
        <x:f>'04 Resource Body'!$B$10</x:f>
        <x:v>0</x:v>
      </x:c>
      <x:c r="H52" t="n">
        <x:f>--(M52=0)</x:f>
        <x:v>1</x:v>
      </x:c>
      <x:c r="I52" t="n">
        <x:f>--(MIN(1,C52+D52+(E52*'03 Mind Knobs'!$B$17)+(F52*'03 Mind Knobs'!$B$18)+('03 Mind Knobs'!$B$7*F52))&gt;=MAX(0.15,0.35+(G52*'03 Mind Knobs'!$B$10)-('03 Mind Knobs'!$B$13*0.15)))</x:f>
        <x:v>0</x:v>
      </x:c>
      <x:c r="J52" t="n">
        <x:f>--(MIN(1,C52+D52+(E52*'03 Mind Knobs'!$B$17)+(F52*'03 Mind Knobs'!$B$18)+('03 Mind Knobs'!$B$7*F52))&gt;=MIN(0.95,'03 Mind Knobs'!$B$19+(G52*'03 Mind Knobs'!$B$10)-('03 Mind Knobs'!$B$13*0.10)))</x:f>
        <x:v>0</x:v>
      </x:c>
      <x:c r="K52" t="n">
        <x:f>--(AND(J52=1,OR(E52=1,F52=1)))</x:f>
        <x:v>0</x:v>
      </x:c>
      <x:c r="L52" t="n">
        <x:f>--(MAX(SUMIFS('00 Compact View'!$H$6:$H$205,'00 Compact View'!$A$6:$A$205,A52,'00 Compact View'!$B$6:$B$205,"&gt;="&amp;B52-'03 Mind Knobs'!$B$16+1,'00 Compact View'!$B$6:$B$205,"&lt;="&amp;B52),SUMIFS('00 Compact View'!$I$6:$I$205,'00 Compact View'!$A$6:$A$205,A52,'00 Compact View'!$B$6:$B$205,"&gt;="&amp;B52-'03 Mind Knobs'!$B$16+1,'00 Compact View'!$B$6:$B$205,"&lt;="&amp;B52),SUMIFS('00 Compact View'!$J$6:$J$205,'00 Compact View'!$A$6:$A$205,A52,'00 Compact View'!$B$6:$B$205,"&gt;="&amp;B52-'03 Mind Knobs'!$B$16+1,'00 Compact View'!$B$6:$B$205,"&lt;="&amp;B52),SUMIFS('00 Compact View'!$K$6:$K$205,'00 Compact View'!$A$6:$A$205,A52,'00 Compact View'!$B$6:$B$205,"&gt;="&amp;B52-'03 Mind Knobs'!$B$16+1,'00 Compact View'!$B$6:$B$205,"&lt;="&amp;B52),SUMIFS('00 Compact View'!$L$6:$L$205,'00 Compact View'!$A$6:$A$205,A52,'00 Compact View'!$B$6:$B$205,"&gt;="&amp;B52-'03 Mind Knobs'!$B$16+1,'00 Compact View'!$B$6:$B$205,"&lt;="&amp;B52))&gt;=MAX(1,ROUNDUP('03 Mind Knobs'!$B$16*(1-'03 Mind Knobs'!$B$8),0)))</x:f>
        <x:v>0</x:v>
      </x:c>
      <x:c r="M52" t="n">
        <x:f>--(OR(I52=1,J52=1,K52=1,L52=1))</x:f>
        <x:v>0</x:v>
      </x:c>
    </x:row>
    <x:row r="53">
      <x:c r="A53" t="n">
        <x:f>'00 Compact View'!A53</x:f>
        <x:v>3</x:v>
      </x:c>
      <x:c r="B53" t="n">
        <x:f>'00 Compact View'!B53</x:f>
        <x:v>8</x:v>
      </x:c>
      <x:c r="C53" s="12" t="n">
        <x:f>SUM('00 Compact View'!H53:L53)/5</x:f>
        <x:v>0.2</x:v>
      </x:c>
      <x:c r="D53" s="12" t="n">
        <x:f>SUM('00 Compact View'!M53:Q53)/5</x:f>
        <x:v>0.2</x:v>
      </x:c>
      <x:c r="E53" s="12" t="n">
        <x:f>'00 Compact View'!R53</x:f>
        <x:v>0</x:v>
      </x:c>
      <x:c r="F53" s="12" t="n">
        <x:f>'00 Compact View'!T53</x:f>
        <x:v>1</x:v>
      </x:c>
      <x:c r="G53" s="12" t="n">
        <x:f>'04 Resource Body'!$B$10</x:f>
        <x:v>0</x:v>
      </x:c>
      <x:c r="H53" t="n">
        <x:f>--(M53=0)</x:f>
        <x:v>0</x:v>
      </x:c>
      <x:c r="I53" t="n">
        <x:f>--(MIN(1,C53+D53+(E53*'03 Mind Knobs'!$B$17)+(F53*'03 Mind Knobs'!$B$18)+('03 Mind Knobs'!$B$7*F53))&gt;=MAX(0.15,0.35+(G53*'03 Mind Knobs'!$B$10)-('03 Mind Knobs'!$B$13*0.15)))</x:f>
        <x:v>1</x:v>
      </x:c>
      <x:c r="J53" t="n">
        <x:f>--(MIN(1,C53+D53+(E53*'03 Mind Knobs'!$B$17)+(F53*'03 Mind Knobs'!$B$18)+('03 Mind Knobs'!$B$7*F53))&gt;=MIN(0.95,'03 Mind Knobs'!$B$19+(G53*'03 Mind Knobs'!$B$10)-('03 Mind Knobs'!$B$13*0.10)))</x:f>
        <x:v>1</x:v>
      </x:c>
      <x:c r="K53" t="n">
        <x:f>--(AND(J53=1,OR(E53=1,F53=1)))</x:f>
        <x:v>1</x:v>
      </x:c>
      <x:c r="L53" t="n">
        <x:f>--(MAX(SUMIFS('00 Compact View'!$H$6:$H$205,'00 Compact View'!$A$6:$A$205,A53,'00 Compact View'!$B$6:$B$205,"&gt;="&amp;B53-'03 Mind Knobs'!$B$16+1,'00 Compact View'!$B$6:$B$205,"&lt;="&amp;B53),SUMIFS('00 Compact View'!$I$6:$I$205,'00 Compact View'!$A$6:$A$205,A53,'00 Compact View'!$B$6:$B$205,"&gt;="&amp;B53-'03 Mind Knobs'!$B$16+1,'00 Compact View'!$B$6:$B$205,"&lt;="&amp;B53),SUMIFS('00 Compact View'!$J$6:$J$205,'00 Compact View'!$A$6:$A$205,A53,'00 Compact View'!$B$6:$B$205,"&gt;="&amp;B53-'03 Mind Knobs'!$B$16+1,'00 Compact View'!$B$6:$B$205,"&lt;="&amp;B53),SUMIFS('00 Compact View'!$K$6:$K$205,'00 Compact View'!$A$6:$A$205,A53,'00 Compact View'!$B$6:$B$205,"&gt;="&amp;B53-'03 Mind Knobs'!$B$16+1,'00 Compact View'!$B$6:$B$205,"&lt;="&amp;B53),SUMIFS('00 Compact View'!$L$6:$L$205,'00 Compact View'!$A$6:$A$205,A53,'00 Compact View'!$B$6:$B$205,"&gt;="&amp;B53-'03 Mind Knobs'!$B$16+1,'00 Compact View'!$B$6:$B$205,"&lt;="&amp;B53))&gt;=MAX(1,ROUNDUP('03 Mind Knobs'!$B$16*(1-'03 Mind Knobs'!$B$8),0)))</x:f>
        <x:v>0</x:v>
      </x:c>
      <x:c r="M53" t="n">
        <x:f>--(OR(I53=1,J53=1,K53=1,L53=1))</x:f>
        <x:v>1</x:v>
      </x:c>
    </x:row>
    <x:row r="54">
      <x:c r="A54" t="n">
        <x:f>'00 Compact View'!A54</x:f>
        <x:v>3</x:v>
      </x:c>
      <x:c r="B54" t="n">
        <x:f>'00 Compact View'!B54</x:f>
        <x:v>9</x:v>
      </x:c>
      <x:c r="C54" s="12" t="n">
        <x:f>SUM('00 Compact View'!H54:L54)/5</x:f>
        <x:v>0</x:v>
      </x:c>
      <x:c r="D54" s="12" t="n">
        <x:f>SUM('00 Compact View'!M54:Q54)/5</x:f>
        <x:v>0.2</x:v>
      </x:c>
      <x:c r="E54" s="12" t="n">
        <x:f>'00 Compact View'!R54</x:f>
        <x:v>0</x:v>
      </x:c>
      <x:c r="F54" s="12" t="n">
        <x:f>'00 Compact View'!T54</x:f>
        <x:v>0</x:v>
      </x:c>
      <x:c r="G54" s="12" t="n">
        <x:f>'04 Resource Body'!$B$10</x:f>
        <x:v>0</x:v>
      </x:c>
      <x:c r="H54" t="n">
        <x:f>--(M54=0)</x:f>
        <x:v>1</x:v>
      </x:c>
      <x:c r="I54" t="n">
        <x:f>--(MIN(1,C54+D54+(E54*'03 Mind Knobs'!$B$17)+(F54*'03 Mind Knobs'!$B$18)+('03 Mind Knobs'!$B$7*F54))&gt;=MAX(0.15,0.35+(G54*'03 Mind Knobs'!$B$10)-('03 Mind Knobs'!$B$13*0.15)))</x:f>
        <x:v>0</x:v>
      </x:c>
      <x:c r="J54" t="n">
        <x:f>--(MIN(1,C54+D54+(E54*'03 Mind Knobs'!$B$17)+(F54*'03 Mind Knobs'!$B$18)+('03 Mind Knobs'!$B$7*F54))&gt;=MIN(0.95,'03 Mind Knobs'!$B$19+(G54*'03 Mind Knobs'!$B$10)-('03 Mind Knobs'!$B$13*0.10)))</x:f>
        <x:v>0</x:v>
      </x:c>
      <x:c r="K54" t="n">
        <x:f>--(AND(J54=1,OR(E54=1,F54=1)))</x:f>
        <x:v>0</x:v>
      </x:c>
      <x:c r="L54" t="n">
        <x:f>--(MAX(SUMIFS('00 Compact View'!$H$6:$H$205,'00 Compact View'!$A$6:$A$205,A54,'00 Compact View'!$B$6:$B$205,"&gt;="&amp;B54-'03 Mind Knobs'!$B$16+1,'00 Compact View'!$B$6:$B$205,"&lt;="&amp;B54),SUMIFS('00 Compact View'!$I$6:$I$205,'00 Compact View'!$A$6:$A$205,A54,'00 Compact View'!$B$6:$B$205,"&gt;="&amp;B54-'03 Mind Knobs'!$B$16+1,'00 Compact View'!$B$6:$B$205,"&lt;="&amp;B54),SUMIFS('00 Compact View'!$J$6:$J$205,'00 Compact View'!$A$6:$A$205,A54,'00 Compact View'!$B$6:$B$205,"&gt;="&amp;B54-'03 Mind Knobs'!$B$16+1,'00 Compact View'!$B$6:$B$205,"&lt;="&amp;B54),SUMIFS('00 Compact View'!$K$6:$K$205,'00 Compact View'!$A$6:$A$205,A54,'00 Compact View'!$B$6:$B$205,"&gt;="&amp;B54-'03 Mind Knobs'!$B$16+1,'00 Compact View'!$B$6:$B$205,"&lt;="&amp;B54),SUMIFS('00 Compact View'!$L$6:$L$205,'00 Compact View'!$A$6:$A$205,A54,'00 Compact View'!$B$6:$B$205,"&gt;="&amp;B54-'03 Mind Knobs'!$B$16+1,'00 Compact View'!$B$6:$B$205,"&lt;="&amp;B54))&gt;=MAX(1,ROUNDUP('03 Mind Knobs'!$B$16*(1-'03 Mind Knobs'!$B$8),0)))</x:f>
        <x:v>0</x:v>
      </x:c>
      <x:c r="M54" t="n">
        <x:f>--(OR(I54=1,J54=1,K54=1,L54=1))</x:f>
        <x:v>0</x:v>
      </x:c>
    </x:row>
    <x:row r="55">
      <x:c r="A55" t="n">
        <x:f>'00 Compact View'!A55</x:f>
        <x:v>3</x:v>
      </x:c>
      <x:c r="B55" t="n">
        <x:f>'00 Compact View'!B55</x:f>
        <x:v>10</x:v>
      </x:c>
      <x:c r="C55" s="12" t="n">
        <x:f>SUM('00 Compact View'!H55:L55)/5</x:f>
        <x:v>0</x:v>
      </x:c>
      <x:c r="D55" s="12" t="n">
        <x:f>SUM('00 Compact View'!M55:Q55)/5</x:f>
        <x:v>0</x:v>
      </x:c>
      <x:c r="E55" s="12" t="n">
        <x:f>'00 Compact View'!R55</x:f>
        <x:v>0</x:v>
      </x:c>
      <x:c r="F55" s="12" t="n">
        <x:f>'00 Compact View'!T55</x:f>
        <x:v>1</x:v>
      </x:c>
      <x:c r="G55" s="12" t="n">
        <x:f>'04 Resource Body'!$B$10</x:f>
        <x:v>0</x:v>
      </x:c>
      <x:c r="H55" t="n">
        <x:f>--(M55=0)</x:f>
        <x:v>0</x:v>
      </x:c>
      <x:c r="I55" t="n">
        <x:f>--(MIN(1,C55+D55+(E55*'03 Mind Knobs'!$B$17)+(F55*'03 Mind Knobs'!$B$18)+('03 Mind Knobs'!$B$7*F55))&gt;=MAX(0.15,0.35+(G55*'03 Mind Knobs'!$B$10)-('03 Mind Knobs'!$B$13*0.15)))</x:f>
        <x:v>1</x:v>
      </x:c>
      <x:c r="J55" t="n">
        <x:f>--(MIN(1,C55+D55+(E55*'03 Mind Knobs'!$B$17)+(F55*'03 Mind Knobs'!$B$18)+('03 Mind Knobs'!$B$7*F55))&gt;=MIN(0.95,'03 Mind Knobs'!$B$19+(G55*'03 Mind Knobs'!$B$10)-('03 Mind Knobs'!$B$13*0.10)))</x:f>
        <x:v>1</x:v>
      </x:c>
      <x:c r="K55" t="n">
        <x:f>--(AND(J55=1,OR(E55=1,F55=1)))</x:f>
        <x:v>1</x:v>
      </x:c>
      <x:c r="L55" t="n">
        <x:f>--(MAX(SUMIFS('00 Compact View'!$H$6:$H$205,'00 Compact View'!$A$6:$A$205,A55,'00 Compact View'!$B$6:$B$205,"&gt;="&amp;B55-'03 Mind Knobs'!$B$16+1,'00 Compact View'!$B$6:$B$205,"&lt;="&amp;B55),SUMIFS('00 Compact View'!$I$6:$I$205,'00 Compact View'!$A$6:$A$205,A55,'00 Compact View'!$B$6:$B$205,"&gt;="&amp;B55-'03 Mind Knobs'!$B$16+1,'00 Compact View'!$B$6:$B$205,"&lt;="&amp;B55),SUMIFS('00 Compact View'!$J$6:$J$205,'00 Compact View'!$A$6:$A$205,A55,'00 Compact View'!$B$6:$B$205,"&gt;="&amp;B55-'03 Mind Knobs'!$B$16+1,'00 Compact View'!$B$6:$B$205,"&lt;="&amp;B55),SUMIFS('00 Compact View'!$K$6:$K$205,'00 Compact View'!$A$6:$A$205,A55,'00 Compact View'!$B$6:$B$205,"&gt;="&amp;B55-'03 Mind Knobs'!$B$16+1,'00 Compact View'!$B$6:$B$205,"&lt;="&amp;B55),SUMIFS('00 Compact View'!$L$6:$L$205,'00 Compact View'!$A$6:$A$205,A55,'00 Compact View'!$B$6:$B$205,"&gt;="&amp;B55-'03 Mind Knobs'!$B$16+1,'00 Compact View'!$B$6:$B$205,"&lt;="&amp;B55))&gt;=MAX(1,ROUNDUP('03 Mind Knobs'!$B$16*(1-'03 Mind Knobs'!$B$8),0)))</x:f>
        <x:v>0</x:v>
      </x:c>
      <x:c r="M55" t="n">
        <x:f>--(OR(I55=1,J55=1,K55=1,L55=1))</x:f>
        <x:v>1</x:v>
      </x:c>
    </x:row>
    <x:row r="56">
      <x:c r="A56" t="n">
        <x:f>'00 Compact View'!A56</x:f>
        <x:v>3</x:v>
      </x:c>
      <x:c r="B56" t="n">
        <x:f>'00 Compact View'!B56</x:f>
        <x:v>11</x:v>
      </x:c>
      <x:c r="C56" s="12" t="n">
        <x:f>SUM('00 Compact View'!H56:L56)/5</x:f>
        <x:v>0</x:v>
      </x:c>
      <x:c r="D56" s="12" t="n">
        <x:f>SUM('00 Compact View'!M56:Q56)/5</x:f>
        <x:v>0</x:v>
      </x:c>
      <x:c r="E56" s="12" t="n">
        <x:f>'00 Compact View'!R56</x:f>
        <x:v>0</x:v>
      </x:c>
      <x:c r="F56" s="12" t="n">
        <x:f>'00 Compact View'!T56</x:f>
        <x:v>0</x:v>
      </x:c>
      <x:c r="G56" s="12" t="n">
        <x:f>'04 Resource Body'!$B$10</x:f>
        <x:v>0</x:v>
      </x:c>
      <x:c r="H56" t="n">
        <x:f>--(M56=0)</x:f>
        <x:v>1</x:v>
      </x:c>
      <x:c r="I56" t="n">
        <x:f>--(MIN(1,C56+D56+(E56*'03 Mind Knobs'!$B$17)+(F56*'03 Mind Knobs'!$B$18)+('03 Mind Knobs'!$B$7*F56))&gt;=MAX(0.15,0.35+(G56*'03 Mind Knobs'!$B$10)-('03 Mind Knobs'!$B$13*0.15)))</x:f>
        <x:v>0</x:v>
      </x:c>
      <x:c r="J56" t="n">
        <x:f>--(MIN(1,C56+D56+(E56*'03 Mind Knobs'!$B$17)+(F56*'03 Mind Knobs'!$B$18)+('03 Mind Knobs'!$B$7*F56))&gt;=MIN(0.95,'03 Mind Knobs'!$B$19+(G56*'03 Mind Knobs'!$B$10)-('03 Mind Knobs'!$B$13*0.10)))</x:f>
        <x:v>0</x:v>
      </x:c>
      <x:c r="K56" t="n">
        <x:f>--(AND(J56=1,OR(E56=1,F56=1)))</x:f>
        <x:v>0</x:v>
      </x:c>
      <x:c r="L56" t="n">
        <x:f>--(MAX(SUMIFS('00 Compact View'!$H$6:$H$205,'00 Compact View'!$A$6:$A$205,A56,'00 Compact View'!$B$6:$B$205,"&gt;="&amp;B56-'03 Mind Knobs'!$B$16+1,'00 Compact View'!$B$6:$B$205,"&lt;="&amp;B56),SUMIFS('00 Compact View'!$I$6:$I$205,'00 Compact View'!$A$6:$A$205,A56,'00 Compact View'!$B$6:$B$205,"&gt;="&amp;B56-'03 Mind Knobs'!$B$16+1,'00 Compact View'!$B$6:$B$205,"&lt;="&amp;B56),SUMIFS('00 Compact View'!$J$6:$J$205,'00 Compact View'!$A$6:$A$205,A56,'00 Compact View'!$B$6:$B$205,"&gt;="&amp;B56-'03 Mind Knobs'!$B$16+1,'00 Compact View'!$B$6:$B$205,"&lt;="&amp;B56),SUMIFS('00 Compact View'!$K$6:$K$205,'00 Compact View'!$A$6:$A$205,A56,'00 Compact View'!$B$6:$B$205,"&gt;="&amp;B56-'03 Mind Knobs'!$B$16+1,'00 Compact View'!$B$6:$B$205,"&lt;="&amp;B56),SUMIFS('00 Compact View'!$L$6:$L$205,'00 Compact View'!$A$6:$A$205,A56,'00 Compact View'!$B$6:$B$205,"&gt;="&amp;B56-'03 Mind Knobs'!$B$16+1,'00 Compact View'!$B$6:$B$205,"&lt;="&amp;B56))&gt;=MAX(1,ROUNDUP('03 Mind Knobs'!$B$16*(1-'03 Mind Knobs'!$B$8),0)))</x:f>
        <x:v>0</x:v>
      </x:c>
      <x:c r="M56" t="n">
        <x:f>--(OR(I56=1,J56=1,K56=1,L56=1))</x:f>
        <x:v>0</x:v>
      </x:c>
    </x:row>
    <x:row r="57">
      <x:c r="A57" t="n">
        <x:f>'00 Compact View'!A57</x:f>
        <x:v>3</x:v>
      </x:c>
      <x:c r="B57" t="n">
        <x:f>'00 Compact View'!B57</x:f>
        <x:v>12</x:v>
      </x:c>
      <x:c r="C57" s="12" t="n">
        <x:f>SUM('00 Compact View'!H57:L57)/5</x:f>
        <x:v>0</x:v>
      </x:c>
      <x:c r="D57" s="12" t="n">
        <x:f>SUM('00 Compact View'!M57:Q57)/5</x:f>
        <x:v>0</x:v>
      </x:c>
      <x:c r="E57" s="12" t="n">
        <x:f>'00 Compact View'!R57</x:f>
        <x:v>0</x:v>
      </x:c>
      <x:c r="F57" s="12" t="n">
        <x:f>'00 Compact View'!T57</x:f>
        <x:v>0</x:v>
      </x:c>
      <x:c r="G57" s="12" t="n">
        <x:f>'04 Resource Body'!$B$10</x:f>
        <x:v>0</x:v>
      </x:c>
      <x:c r="H57" t="n">
        <x:f>--(M57=0)</x:f>
        <x:v>1</x:v>
      </x:c>
      <x:c r="I57" t="n">
        <x:f>--(MIN(1,C57+D57+(E57*'03 Mind Knobs'!$B$17)+(F57*'03 Mind Knobs'!$B$18)+('03 Mind Knobs'!$B$7*F57))&gt;=MAX(0.15,0.35+(G57*'03 Mind Knobs'!$B$10)-('03 Mind Knobs'!$B$13*0.15)))</x:f>
        <x:v>0</x:v>
      </x:c>
      <x:c r="J57" t="n">
        <x:f>--(MIN(1,C57+D57+(E57*'03 Mind Knobs'!$B$17)+(F57*'03 Mind Knobs'!$B$18)+('03 Mind Knobs'!$B$7*F57))&gt;=MIN(0.95,'03 Mind Knobs'!$B$19+(G57*'03 Mind Knobs'!$B$10)-('03 Mind Knobs'!$B$13*0.10)))</x:f>
        <x:v>0</x:v>
      </x:c>
      <x:c r="K57" t="n">
        <x:f>--(AND(J57=1,OR(E57=1,F57=1)))</x:f>
        <x:v>0</x:v>
      </x:c>
      <x:c r="L57" t="n">
        <x:f>--(MAX(SUMIFS('00 Compact View'!$H$6:$H$205,'00 Compact View'!$A$6:$A$205,A57,'00 Compact View'!$B$6:$B$205,"&gt;="&amp;B57-'03 Mind Knobs'!$B$16+1,'00 Compact View'!$B$6:$B$205,"&lt;="&amp;B57),SUMIFS('00 Compact View'!$I$6:$I$205,'00 Compact View'!$A$6:$A$205,A57,'00 Compact View'!$B$6:$B$205,"&gt;="&amp;B57-'03 Mind Knobs'!$B$16+1,'00 Compact View'!$B$6:$B$205,"&lt;="&amp;B57),SUMIFS('00 Compact View'!$J$6:$J$205,'00 Compact View'!$A$6:$A$205,A57,'00 Compact View'!$B$6:$B$205,"&gt;="&amp;B57-'03 Mind Knobs'!$B$16+1,'00 Compact View'!$B$6:$B$205,"&lt;="&amp;B57),SUMIFS('00 Compact View'!$K$6:$K$205,'00 Compact View'!$A$6:$A$205,A57,'00 Compact View'!$B$6:$B$205,"&gt;="&amp;B57-'03 Mind Knobs'!$B$16+1,'00 Compact View'!$B$6:$B$205,"&lt;="&amp;B57),SUMIFS('00 Compact View'!$L$6:$L$205,'00 Compact View'!$A$6:$A$205,A57,'00 Compact View'!$B$6:$B$205,"&gt;="&amp;B57-'03 Mind Knobs'!$B$16+1,'00 Compact View'!$B$6:$B$205,"&lt;="&amp;B57))&gt;=MAX(1,ROUNDUP('03 Mind Knobs'!$B$16*(1-'03 Mind Knobs'!$B$8),0)))</x:f>
        <x:v>0</x:v>
      </x:c>
      <x:c r="M57" t="n">
        <x:f>--(OR(I57=1,J57=1,K57=1,L57=1))</x:f>
        <x:v>0</x:v>
      </x:c>
    </x:row>
    <x:row r="58">
      <x:c r="A58" t="n">
        <x:f>'00 Compact View'!A58</x:f>
        <x:v>3</x:v>
      </x:c>
      <x:c r="B58" t="n">
        <x:f>'00 Compact View'!B58</x:f>
        <x:v>13</x:v>
      </x:c>
      <x:c r="C58" s="12" t="n">
        <x:f>SUM('00 Compact View'!H58:L58)/5</x:f>
        <x:v>0</x:v>
      </x:c>
      <x:c r="D58" s="12" t="n">
        <x:f>SUM('00 Compact View'!M58:Q58)/5</x:f>
        <x:v>0</x:v>
      </x:c>
      <x:c r="E58" s="12" t="n">
        <x:f>'00 Compact View'!R58</x:f>
        <x:v>0</x:v>
      </x:c>
      <x:c r="F58" s="12" t="n">
        <x:f>'00 Compact View'!T58</x:f>
        <x:v>0</x:v>
      </x:c>
      <x:c r="G58" s="12" t="n">
        <x:f>'04 Resource Body'!$B$10</x:f>
        <x:v>0</x:v>
      </x:c>
      <x:c r="H58" t="n">
        <x:f>--(M58=0)</x:f>
        <x:v>1</x:v>
      </x:c>
      <x:c r="I58" t="n">
        <x:f>--(MIN(1,C58+D58+(E58*'03 Mind Knobs'!$B$17)+(F58*'03 Mind Knobs'!$B$18)+('03 Mind Knobs'!$B$7*F58))&gt;=MAX(0.15,0.35+(G58*'03 Mind Knobs'!$B$10)-('03 Mind Knobs'!$B$13*0.15)))</x:f>
        <x:v>0</x:v>
      </x:c>
      <x:c r="J58" t="n">
        <x:f>--(MIN(1,C58+D58+(E58*'03 Mind Knobs'!$B$17)+(F58*'03 Mind Knobs'!$B$18)+('03 Mind Knobs'!$B$7*F58))&gt;=MIN(0.95,'03 Mind Knobs'!$B$19+(G58*'03 Mind Knobs'!$B$10)-('03 Mind Knobs'!$B$13*0.10)))</x:f>
        <x:v>0</x:v>
      </x:c>
      <x:c r="K58" t="n">
        <x:f>--(AND(J58=1,OR(E58=1,F58=1)))</x:f>
        <x:v>0</x:v>
      </x:c>
      <x:c r="L58" t="n">
        <x:f>--(MAX(SUMIFS('00 Compact View'!$H$6:$H$205,'00 Compact View'!$A$6:$A$205,A58,'00 Compact View'!$B$6:$B$205,"&gt;="&amp;B58-'03 Mind Knobs'!$B$16+1,'00 Compact View'!$B$6:$B$205,"&lt;="&amp;B58),SUMIFS('00 Compact View'!$I$6:$I$205,'00 Compact View'!$A$6:$A$205,A58,'00 Compact View'!$B$6:$B$205,"&gt;="&amp;B58-'03 Mind Knobs'!$B$16+1,'00 Compact View'!$B$6:$B$205,"&lt;="&amp;B58),SUMIFS('00 Compact View'!$J$6:$J$205,'00 Compact View'!$A$6:$A$205,A58,'00 Compact View'!$B$6:$B$205,"&gt;="&amp;B58-'03 Mind Knobs'!$B$16+1,'00 Compact View'!$B$6:$B$205,"&lt;="&amp;B58),SUMIFS('00 Compact View'!$K$6:$K$205,'00 Compact View'!$A$6:$A$205,A58,'00 Compact View'!$B$6:$B$205,"&gt;="&amp;B58-'03 Mind Knobs'!$B$16+1,'00 Compact View'!$B$6:$B$205,"&lt;="&amp;B58),SUMIFS('00 Compact View'!$L$6:$L$205,'00 Compact View'!$A$6:$A$205,A58,'00 Compact View'!$B$6:$B$205,"&gt;="&amp;B58-'03 Mind Knobs'!$B$16+1,'00 Compact View'!$B$6:$B$205,"&lt;="&amp;B58))&gt;=MAX(1,ROUNDUP('03 Mind Knobs'!$B$16*(1-'03 Mind Knobs'!$B$8),0)))</x:f>
        <x:v>0</x:v>
      </x:c>
      <x:c r="M58" t="n">
        <x:f>--(OR(I58=1,J58=1,K58=1,L58=1))</x:f>
        <x:v>0</x:v>
      </x:c>
    </x:row>
    <x:row r="59">
      <x:c r="A59" t="n">
        <x:f>'00 Compact View'!A59</x:f>
        <x:v>3</x:v>
      </x:c>
      <x:c r="B59" t="n">
        <x:f>'00 Compact View'!B59</x:f>
        <x:v>14</x:v>
      </x:c>
      <x:c r="C59" s="12" t="n">
        <x:f>SUM('00 Compact View'!H59:L59)/5</x:f>
        <x:v>0</x:v>
      </x:c>
      <x:c r="D59" s="12" t="n">
        <x:f>SUM('00 Compact View'!M59:Q59)/5</x:f>
        <x:v>0</x:v>
      </x:c>
      <x:c r="E59" s="12" t="n">
        <x:f>'00 Compact View'!R59</x:f>
        <x:v>0</x:v>
      </x:c>
      <x:c r="F59" s="12" t="n">
        <x:f>'00 Compact View'!T59</x:f>
        <x:v>0</x:v>
      </x:c>
      <x:c r="G59" s="12" t="n">
        <x:f>'04 Resource Body'!$B$10</x:f>
        <x:v>0</x:v>
      </x:c>
      <x:c r="H59" t="n">
        <x:f>--(M59=0)</x:f>
        <x:v>1</x:v>
      </x:c>
      <x:c r="I59" t="n">
        <x:f>--(MIN(1,C59+D59+(E59*'03 Mind Knobs'!$B$17)+(F59*'03 Mind Knobs'!$B$18)+('03 Mind Knobs'!$B$7*F59))&gt;=MAX(0.15,0.35+(G59*'03 Mind Knobs'!$B$10)-('03 Mind Knobs'!$B$13*0.15)))</x:f>
        <x:v>0</x:v>
      </x:c>
      <x:c r="J59" t="n">
        <x:f>--(MIN(1,C59+D59+(E59*'03 Mind Knobs'!$B$17)+(F59*'03 Mind Knobs'!$B$18)+('03 Mind Knobs'!$B$7*F59))&gt;=MIN(0.95,'03 Mind Knobs'!$B$19+(G59*'03 Mind Knobs'!$B$10)-('03 Mind Knobs'!$B$13*0.10)))</x:f>
        <x:v>0</x:v>
      </x:c>
      <x:c r="K59" t="n">
        <x:f>--(AND(J59=1,OR(E59=1,F59=1)))</x:f>
        <x:v>0</x:v>
      </x:c>
      <x:c r="L59" t="n">
        <x:f>--(MAX(SUMIFS('00 Compact View'!$H$6:$H$205,'00 Compact View'!$A$6:$A$205,A59,'00 Compact View'!$B$6:$B$205,"&gt;="&amp;B59-'03 Mind Knobs'!$B$16+1,'00 Compact View'!$B$6:$B$205,"&lt;="&amp;B59),SUMIFS('00 Compact View'!$I$6:$I$205,'00 Compact View'!$A$6:$A$205,A59,'00 Compact View'!$B$6:$B$205,"&gt;="&amp;B59-'03 Mind Knobs'!$B$16+1,'00 Compact View'!$B$6:$B$205,"&lt;="&amp;B59),SUMIFS('00 Compact View'!$J$6:$J$205,'00 Compact View'!$A$6:$A$205,A59,'00 Compact View'!$B$6:$B$205,"&gt;="&amp;B59-'03 Mind Knobs'!$B$16+1,'00 Compact View'!$B$6:$B$205,"&lt;="&amp;B59),SUMIFS('00 Compact View'!$K$6:$K$205,'00 Compact View'!$A$6:$A$205,A59,'00 Compact View'!$B$6:$B$205,"&gt;="&amp;B59-'03 Mind Knobs'!$B$16+1,'00 Compact View'!$B$6:$B$205,"&lt;="&amp;B59),SUMIFS('00 Compact View'!$L$6:$L$205,'00 Compact View'!$A$6:$A$205,A59,'00 Compact View'!$B$6:$B$205,"&gt;="&amp;B59-'03 Mind Knobs'!$B$16+1,'00 Compact View'!$B$6:$B$205,"&lt;="&amp;B59))&gt;=MAX(1,ROUNDUP('03 Mind Knobs'!$B$16*(1-'03 Mind Knobs'!$B$8),0)))</x:f>
        <x:v>0</x:v>
      </x:c>
      <x:c r="M59" t="n">
        <x:f>--(OR(I59=1,J59=1,K59=1,L59=1))</x:f>
        <x:v>0</x:v>
      </x:c>
    </x:row>
    <x:row r="60">
      <x:c r="A60" t="n">
        <x:f>'00 Compact View'!A60</x:f>
        <x:v>3</x:v>
      </x:c>
      <x:c r="B60" t="n">
        <x:f>'00 Compact View'!B60</x:f>
        <x:v>15</x:v>
      </x:c>
      <x:c r="C60" s="12" t="n">
        <x:f>SUM('00 Compact View'!H60:L60)/5</x:f>
        <x:v>0</x:v>
      </x:c>
      <x:c r="D60" s="12" t="n">
        <x:f>SUM('00 Compact View'!M60:Q60)/5</x:f>
        <x:v>0</x:v>
      </x:c>
      <x:c r="E60" s="12" t="n">
        <x:f>'00 Compact View'!R60</x:f>
        <x:v>0</x:v>
      </x:c>
      <x:c r="F60" s="12" t="n">
        <x:f>'00 Compact View'!T60</x:f>
        <x:v>0</x:v>
      </x:c>
      <x:c r="G60" s="12" t="n">
        <x:f>'04 Resource Body'!$B$10</x:f>
        <x:v>0</x:v>
      </x:c>
      <x:c r="H60" t="n">
        <x:f>--(M60=0)</x:f>
        <x:v>1</x:v>
      </x:c>
      <x:c r="I60" t="n">
        <x:f>--(MIN(1,C60+D60+(E60*'03 Mind Knobs'!$B$17)+(F60*'03 Mind Knobs'!$B$18)+('03 Mind Knobs'!$B$7*F60))&gt;=MAX(0.15,0.35+(G60*'03 Mind Knobs'!$B$10)-('03 Mind Knobs'!$B$13*0.15)))</x:f>
        <x:v>0</x:v>
      </x:c>
      <x:c r="J60" t="n">
        <x:f>--(MIN(1,C60+D60+(E60*'03 Mind Knobs'!$B$17)+(F60*'03 Mind Knobs'!$B$18)+('03 Mind Knobs'!$B$7*F60))&gt;=MIN(0.95,'03 Mind Knobs'!$B$19+(G60*'03 Mind Knobs'!$B$10)-('03 Mind Knobs'!$B$13*0.10)))</x:f>
        <x:v>0</x:v>
      </x:c>
      <x:c r="K60" t="n">
        <x:f>--(AND(J60=1,OR(E60=1,F60=1)))</x:f>
        <x:v>0</x:v>
      </x:c>
      <x:c r="L60" t="n">
        <x:f>--(MAX(SUMIFS('00 Compact View'!$H$6:$H$205,'00 Compact View'!$A$6:$A$205,A60,'00 Compact View'!$B$6:$B$205,"&gt;="&amp;B60-'03 Mind Knobs'!$B$16+1,'00 Compact View'!$B$6:$B$205,"&lt;="&amp;B60),SUMIFS('00 Compact View'!$I$6:$I$205,'00 Compact View'!$A$6:$A$205,A60,'00 Compact View'!$B$6:$B$205,"&gt;="&amp;B60-'03 Mind Knobs'!$B$16+1,'00 Compact View'!$B$6:$B$205,"&lt;="&amp;B60),SUMIFS('00 Compact View'!$J$6:$J$205,'00 Compact View'!$A$6:$A$205,A60,'00 Compact View'!$B$6:$B$205,"&gt;="&amp;B60-'03 Mind Knobs'!$B$16+1,'00 Compact View'!$B$6:$B$205,"&lt;="&amp;B60),SUMIFS('00 Compact View'!$K$6:$K$205,'00 Compact View'!$A$6:$A$205,A60,'00 Compact View'!$B$6:$B$205,"&gt;="&amp;B60-'03 Mind Knobs'!$B$16+1,'00 Compact View'!$B$6:$B$205,"&lt;="&amp;B60),SUMIFS('00 Compact View'!$L$6:$L$205,'00 Compact View'!$A$6:$A$205,A60,'00 Compact View'!$B$6:$B$205,"&gt;="&amp;B60-'03 Mind Knobs'!$B$16+1,'00 Compact View'!$B$6:$B$205,"&lt;="&amp;B60))&gt;=MAX(1,ROUNDUP('03 Mind Knobs'!$B$16*(1-'03 Mind Knobs'!$B$8),0)))</x:f>
        <x:v>0</x:v>
      </x:c>
      <x:c r="M60" t="n">
        <x:f>--(OR(I60=1,J60=1,K60=1,L60=1))</x:f>
        <x:v>0</x:v>
      </x:c>
    </x:row>
    <x:row r="61">
      <x:c r="A61" t="n">
        <x:f>'00 Compact View'!A61</x:f>
        <x:v>3</x:v>
      </x:c>
      <x:c r="B61" t="n">
        <x:f>'00 Compact View'!B61</x:f>
        <x:v>16</x:v>
      </x:c>
      <x:c r="C61" s="12" t="n">
        <x:f>SUM('00 Compact View'!H61:L61)/5</x:f>
        <x:v>0</x:v>
      </x:c>
      <x:c r="D61" s="12" t="n">
        <x:f>SUM('00 Compact View'!M61:Q61)/5</x:f>
        <x:v>0</x:v>
      </x:c>
      <x:c r="E61" s="12" t="n">
        <x:f>'00 Compact View'!R61</x:f>
        <x:v>0</x:v>
      </x:c>
      <x:c r="F61" s="12" t="n">
        <x:f>'00 Compact View'!T61</x:f>
        <x:v>0</x:v>
      </x:c>
      <x:c r="G61" s="12" t="n">
        <x:f>'04 Resource Body'!$B$10</x:f>
        <x:v>0</x:v>
      </x:c>
      <x:c r="H61" t="n">
        <x:f>--(M61=0)</x:f>
        <x:v>1</x:v>
      </x:c>
      <x:c r="I61" t="n">
        <x:f>--(MIN(1,C61+D61+(E61*'03 Mind Knobs'!$B$17)+(F61*'03 Mind Knobs'!$B$18)+('03 Mind Knobs'!$B$7*F61))&gt;=MAX(0.15,0.35+(G61*'03 Mind Knobs'!$B$10)-('03 Mind Knobs'!$B$13*0.15)))</x:f>
        <x:v>0</x:v>
      </x:c>
      <x:c r="J61" t="n">
        <x:f>--(MIN(1,C61+D61+(E61*'03 Mind Knobs'!$B$17)+(F61*'03 Mind Knobs'!$B$18)+('03 Mind Knobs'!$B$7*F61))&gt;=MIN(0.95,'03 Mind Knobs'!$B$19+(G61*'03 Mind Knobs'!$B$10)-('03 Mind Knobs'!$B$13*0.10)))</x:f>
        <x:v>0</x:v>
      </x:c>
      <x:c r="K61" t="n">
        <x:f>--(AND(J61=1,OR(E61=1,F61=1)))</x:f>
        <x:v>0</x:v>
      </x:c>
      <x:c r="L61" t="n">
        <x:f>--(MAX(SUMIFS('00 Compact View'!$H$6:$H$205,'00 Compact View'!$A$6:$A$205,A61,'00 Compact View'!$B$6:$B$205,"&gt;="&amp;B61-'03 Mind Knobs'!$B$16+1,'00 Compact View'!$B$6:$B$205,"&lt;="&amp;B61),SUMIFS('00 Compact View'!$I$6:$I$205,'00 Compact View'!$A$6:$A$205,A61,'00 Compact View'!$B$6:$B$205,"&gt;="&amp;B61-'03 Mind Knobs'!$B$16+1,'00 Compact View'!$B$6:$B$205,"&lt;="&amp;B61),SUMIFS('00 Compact View'!$J$6:$J$205,'00 Compact View'!$A$6:$A$205,A61,'00 Compact View'!$B$6:$B$205,"&gt;="&amp;B61-'03 Mind Knobs'!$B$16+1,'00 Compact View'!$B$6:$B$205,"&lt;="&amp;B61),SUMIFS('00 Compact View'!$K$6:$K$205,'00 Compact View'!$A$6:$A$205,A61,'00 Compact View'!$B$6:$B$205,"&gt;="&amp;B61-'03 Mind Knobs'!$B$16+1,'00 Compact View'!$B$6:$B$205,"&lt;="&amp;B61),SUMIFS('00 Compact View'!$L$6:$L$205,'00 Compact View'!$A$6:$A$205,A61,'00 Compact View'!$B$6:$B$205,"&gt;="&amp;B61-'03 Mind Knobs'!$B$16+1,'00 Compact View'!$B$6:$B$205,"&lt;="&amp;B61))&gt;=MAX(1,ROUNDUP('03 Mind Knobs'!$B$16*(1-'03 Mind Knobs'!$B$8),0)))</x:f>
        <x:v>0</x:v>
      </x:c>
      <x:c r="M61" t="n">
        <x:f>--(OR(I61=1,J61=1,K61=1,L61=1))</x:f>
        <x:v>0</x:v>
      </x:c>
    </x:row>
    <x:row r="62">
      <x:c r="A62" t="n">
        <x:f>'00 Compact View'!A62</x:f>
        <x:v>3</x:v>
      </x:c>
      <x:c r="B62" t="n">
        <x:f>'00 Compact View'!B62</x:f>
        <x:v>17</x:v>
      </x:c>
      <x:c r="C62" s="12" t="n">
        <x:f>SUM('00 Compact View'!H62:L62)/5</x:f>
        <x:v>0</x:v>
      </x:c>
      <x:c r="D62" s="12" t="n">
        <x:f>SUM('00 Compact View'!M62:Q62)/5</x:f>
        <x:v>0</x:v>
      </x:c>
      <x:c r="E62" s="12" t="n">
        <x:f>'00 Compact View'!R62</x:f>
        <x:v>0</x:v>
      </x:c>
      <x:c r="F62" s="12" t="n">
        <x:f>'00 Compact View'!T62</x:f>
        <x:v>0</x:v>
      </x:c>
      <x:c r="G62" s="12" t="n">
        <x:f>'04 Resource Body'!$B$10</x:f>
        <x:v>0</x:v>
      </x:c>
      <x:c r="H62" t="n">
        <x:f>--(M62=0)</x:f>
        <x:v>1</x:v>
      </x:c>
      <x:c r="I62" t="n">
        <x:f>--(MIN(1,C62+D62+(E62*'03 Mind Knobs'!$B$17)+(F62*'03 Mind Knobs'!$B$18)+('03 Mind Knobs'!$B$7*F62))&gt;=MAX(0.15,0.35+(G62*'03 Mind Knobs'!$B$10)-('03 Mind Knobs'!$B$13*0.15)))</x:f>
        <x:v>0</x:v>
      </x:c>
      <x:c r="J62" t="n">
        <x:f>--(MIN(1,C62+D62+(E62*'03 Mind Knobs'!$B$17)+(F62*'03 Mind Knobs'!$B$18)+('03 Mind Knobs'!$B$7*F62))&gt;=MIN(0.95,'03 Mind Knobs'!$B$19+(G62*'03 Mind Knobs'!$B$10)-('03 Mind Knobs'!$B$13*0.10)))</x:f>
        <x:v>0</x:v>
      </x:c>
      <x:c r="K62" t="n">
        <x:f>--(AND(J62=1,OR(E62=1,F62=1)))</x:f>
        <x:v>0</x:v>
      </x:c>
      <x:c r="L62" t="n">
        <x:f>--(MAX(SUMIFS('00 Compact View'!$H$6:$H$205,'00 Compact View'!$A$6:$A$205,A62,'00 Compact View'!$B$6:$B$205,"&gt;="&amp;B62-'03 Mind Knobs'!$B$16+1,'00 Compact View'!$B$6:$B$205,"&lt;="&amp;B62),SUMIFS('00 Compact View'!$I$6:$I$205,'00 Compact View'!$A$6:$A$205,A62,'00 Compact View'!$B$6:$B$205,"&gt;="&amp;B62-'03 Mind Knobs'!$B$16+1,'00 Compact View'!$B$6:$B$205,"&lt;="&amp;B62),SUMIFS('00 Compact View'!$J$6:$J$205,'00 Compact View'!$A$6:$A$205,A62,'00 Compact View'!$B$6:$B$205,"&gt;="&amp;B62-'03 Mind Knobs'!$B$16+1,'00 Compact View'!$B$6:$B$205,"&lt;="&amp;B62),SUMIFS('00 Compact View'!$K$6:$K$205,'00 Compact View'!$A$6:$A$205,A62,'00 Compact View'!$B$6:$B$205,"&gt;="&amp;B62-'03 Mind Knobs'!$B$16+1,'00 Compact View'!$B$6:$B$205,"&lt;="&amp;B62),SUMIFS('00 Compact View'!$L$6:$L$205,'00 Compact View'!$A$6:$A$205,A62,'00 Compact View'!$B$6:$B$205,"&gt;="&amp;B62-'03 Mind Knobs'!$B$16+1,'00 Compact View'!$B$6:$B$205,"&lt;="&amp;B62))&gt;=MAX(1,ROUNDUP('03 Mind Knobs'!$B$16*(1-'03 Mind Knobs'!$B$8),0)))</x:f>
        <x:v>0</x:v>
      </x:c>
      <x:c r="M62" t="n">
        <x:f>--(OR(I62=1,J62=1,K62=1,L62=1))</x:f>
        <x:v>0</x:v>
      </x:c>
    </x:row>
    <x:row r="63">
      <x:c r="A63" t="n">
        <x:f>'00 Compact View'!A63</x:f>
        <x:v>3</x:v>
      </x:c>
      <x:c r="B63" t="n">
        <x:f>'00 Compact View'!B63</x:f>
        <x:v>18</x:v>
      </x:c>
      <x:c r="C63" s="12" t="n">
        <x:f>SUM('00 Compact View'!H63:L63)/5</x:f>
        <x:v>0</x:v>
      </x:c>
      <x:c r="D63" s="12" t="n">
        <x:f>SUM('00 Compact View'!M63:Q63)/5</x:f>
        <x:v>0</x:v>
      </x:c>
      <x:c r="E63" s="12" t="n">
        <x:f>'00 Compact View'!R63</x:f>
        <x:v>0</x:v>
      </x:c>
      <x:c r="F63" s="12" t="n">
        <x:f>'00 Compact View'!T63</x:f>
        <x:v>0</x:v>
      </x:c>
      <x:c r="G63" s="12" t="n">
        <x:f>'04 Resource Body'!$B$10</x:f>
        <x:v>0</x:v>
      </x:c>
      <x:c r="H63" t="n">
        <x:f>--(M63=0)</x:f>
        <x:v>1</x:v>
      </x:c>
      <x:c r="I63" t="n">
        <x:f>--(MIN(1,C63+D63+(E63*'03 Mind Knobs'!$B$17)+(F63*'03 Mind Knobs'!$B$18)+('03 Mind Knobs'!$B$7*F63))&gt;=MAX(0.15,0.35+(G63*'03 Mind Knobs'!$B$10)-('03 Mind Knobs'!$B$13*0.15)))</x:f>
        <x:v>0</x:v>
      </x:c>
      <x:c r="J63" t="n">
        <x:f>--(MIN(1,C63+D63+(E63*'03 Mind Knobs'!$B$17)+(F63*'03 Mind Knobs'!$B$18)+('03 Mind Knobs'!$B$7*F63))&gt;=MIN(0.95,'03 Mind Knobs'!$B$19+(G63*'03 Mind Knobs'!$B$10)-('03 Mind Knobs'!$B$13*0.10)))</x:f>
        <x:v>0</x:v>
      </x:c>
      <x:c r="K63" t="n">
        <x:f>--(AND(J63=1,OR(E63=1,F63=1)))</x:f>
        <x:v>0</x:v>
      </x:c>
      <x:c r="L63" t="n">
        <x:f>--(MAX(SUMIFS('00 Compact View'!$H$6:$H$205,'00 Compact View'!$A$6:$A$205,A63,'00 Compact View'!$B$6:$B$205,"&gt;="&amp;B63-'03 Mind Knobs'!$B$16+1,'00 Compact View'!$B$6:$B$205,"&lt;="&amp;B63),SUMIFS('00 Compact View'!$I$6:$I$205,'00 Compact View'!$A$6:$A$205,A63,'00 Compact View'!$B$6:$B$205,"&gt;="&amp;B63-'03 Mind Knobs'!$B$16+1,'00 Compact View'!$B$6:$B$205,"&lt;="&amp;B63),SUMIFS('00 Compact View'!$J$6:$J$205,'00 Compact View'!$A$6:$A$205,A63,'00 Compact View'!$B$6:$B$205,"&gt;="&amp;B63-'03 Mind Knobs'!$B$16+1,'00 Compact View'!$B$6:$B$205,"&lt;="&amp;B63),SUMIFS('00 Compact View'!$K$6:$K$205,'00 Compact View'!$A$6:$A$205,A63,'00 Compact View'!$B$6:$B$205,"&gt;="&amp;B63-'03 Mind Knobs'!$B$16+1,'00 Compact View'!$B$6:$B$205,"&lt;="&amp;B63),SUMIFS('00 Compact View'!$L$6:$L$205,'00 Compact View'!$A$6:$A$205,A63,'00 Compact View'!$B$6:$B$205,"&gt;="&amp;B63-'03 Mind Knobs'!$B$16+1,'00 Compact View'!$B$6:$B$205,"&lt;="&amp;B63))&gt;=MAX(1,ROUNDUP('03 Mind Knobs'!$B$16*(1-'03 Mind Knobs'!$B$8),0)))</x:f>
        <x:v>0</x:v>
      </x:c>
      <x:c r="M63" t="n">
        <x:f>--(OR(I63=1,J63=1,K63=1,L63=1))</x:f>
        <x:v>0</x:v>
      </x:c>
    </x:row>
    <x:row r="64">
      <x:c r="A64" t="n">
        <x:f>'00 Compact View'!A64</x:f>
        <x:v>3</x:v>
      </x:c>
      <x:c r="B64" t="n">
        <x:f>'00 Compact View'!B64</x:f>
        <x:v>19</x:v>
      </x:c>
      <x:c r="C64" s="12" t="n">
        <x:f>SUM('00 Compact View'!H64:L64)/5</x:f>
        <x:v>0</x:v>
      </x:c>
      <x:c r="D64" s="12" t="n">
        <x:f>SUM('00 Compact View'!M64:Q64)/5</x:f>
        <x:v>0</x:v>
      </x:c>
      <x:c r="E64" s="12" t="n">
        <x:f>'00 Compact View'!R64</x:f>
        <x:v>0</x:v>
      </x:c>
      <x:c r="F64" s="12" t="n">
        <x:f>'00 Compact View'!T64</x:f>
        <x:v>0</x:v>
      </x:c>
      <x:c r="G64" s="12" t="n">
        <x:f>'04 Resource Body'!$B$10</x:f>
        <x:v>0</x:v>
      </x:c>
      <x:c r="H64" t="n">
        <x:f>--(M64=0)</x:f>
        <x:v>1</x:v>
      </x:c>
      <x:c r="I64" t="n">
        <x:f>--(MIN(1,C64+D64+(E64*'03 Mind Knobs'!$B$17)+(F64*'03 Mind Knobs'!$B$18)+('03 Mind Knobs'!$B$7*F64))&gt;=MAX(0.15,0.35+(G64*'03 Mind Knobs'!$B$10)-('03 Mind Knobs'!$B$13*0.15)))</x:f>
        <x:v>0</x:v>
      </x:c>
      <x:c r="J64" t="n">
        <x:f>--(MIN(1,C64+D64+(E64*'03 Mind Knobs'!$B$17)+(F64*'03 Mind Knobs'!$B$18)+('03 Mind Knobs'!$B$7*F64))&gt;=MIN(0.95,'03 Mind Knobs'!$B$19+(G64*'03 Mind Knobs'!$B$10)-('03 Mind Knobs'!$B$13*0.10)))</x:f>
        <x:v>0</x:v>
      </x:c>
      <x:c r="K64" t="n">
        <x:f>--(AND(J64=1,OR(E64=1,F64=1)))</x:f>
        <x:v>0</x:v>
      </x:c>
      <x:c r="L64" t="n">
        <x:f>--(MAX(SUMIFS('00 Compact View'!$H$6:$H$205,'00 Compact View'!$A$6:$A$205,A64,'00 Compact View'!$B$6:$B$205,"&gt;="&amp;B64-'03 Mind Knobs'!$B$16+1,'00 Compact View'!$B$6:$B$205,"&lt;="&amp;B64),SUMIFS('00 Compact View'!$I$6:$I$205,'00 Compact View'!$A$6:$A$205,A64,'00 Compact View'!$B$6:$B$205,"&gt;="&amp;B64-'03 Mind Knobs'!$B$16+1,'00 Compact View'!$B$6:$B$205,"&lt;="&amp;B64),SUMIFS('00 Compact View'!$J$6:$J$205,'00 Compact View'!$A$6:$A$205,A64,'00 Compact View'!$B$6:$B$205,"&gt;="&amp;B64-'03 Mind Knobs'!$B$16+1,'00 Compact View'!$B$6:$B$205,"&lt;="&amp;B64),SUMIFS('00 Compact View'!$K$6:$K$205,'00 Compact View'!$A$6:$A$205,A64,'00 Compact View'!$B$6:$B$205,"&gt;="&amp;B64-'03 Mind Knobs'!$B$16+1,'00 Compact View'!$B$6:$B$205,"&lt;="&amp;B64),SUMIFS('00 Compact View'!$L$6:$L$205,'00 Compact View'!$A$6:$A$205,A64,'00 Compact View'!$B$6:$B$205,"&gt;="&amp;B64-'03 Mind Knobs'!$B$16+1,'00 Compact View'!$B$6:$B$205,"&lt;="&amp;B64))&gt;=MAX(1,ROUNDUP('03 Mind Knobs'!$B$16*(1-'03 Mind Knobs'!$B$8),0)))</x:f>
        <x:v>0</x:v>
      </x:c>
      <x:c r="M64" t="n">
        <x:f>--(OR(I64=1,J64=1,K64=1,L64=1))</x:f>
        <x:v>0</x:v>
      </x:c>
    </x:row>
    <x:row r="65">
      <x:c r="A65" t="n">
        <x:f>'00 Compact View'!A65</x:f>
        <x:v>3</x:v>
      </x:c>
      <x:c r="B65" t="n">
        <x:f>'00 Compact View'!B65</x:f>
        <x:v>20</x:v>
      </x:c>
      <x:c r="C65" s="12" t="n">
        <x:f>SUM('00 Compact View'!H65:L65)/5</x:f>
        <x:v>0</x:v>
      </x:c>
      <x:c r="D65" s="12" t="n">
        <x:f>SUM('00 Compact View'!M65:Q65)/5</x:f>
        <x:v>0</x:v>
      </x:c>
      <x:c r="E65" s="12" t="n">
        <x:f>'00 Compact View'!R65</x:f>
        <x:v>0</x:v>
      </x:c>
      <x:c r="F65" s="12" t="n">
        <x:f>'00 Compact View'!T65</x:f>
        <x:v>0</x:v>
      </x:c>
      <x:c r="G65" s="12" t="n">
        <x:f>'04 Resource Body'!$B$10</x:f>
        <x:v>0</x:v>
      </x:c>
      <x:c r="H65" t="n">
        <x:f>--(M65=0)</x:f>
        <x:v>1</x:v>
      </x:c>
      <x:c r="I65" t="n">
        <x:f>--(MIN(1,C65+D65+(E65*'03 Mind Knobs'!$B$17)+(F65*'03 Mind Knobs'!$B$18)+('03 Mind Knobs'!$B$7*F65))&gt;=MAX(0.15,0.35+(G65*'03 Mind Knobs'!$B$10)-('03 Mind Knobs'!$B$13*0.15)))</x:f>
        <x:v>0</x:v>
      </x:c>
      <x:c r="J65" t="n">
        <x:f>--(MIN(1,C65+D65+(E65*'03 Mind Knobs'!$B$17)+(F65*'03 Mind Knobs'!$B$18)+('03 Mind Knobs'!$B$7*F65))&gt;=MIN(0.95,'03 Mind Knobs'!$B$19+(G65*'03 Mind Knobs'!$B$10)-('03 Mind Knobs'!$B$13*0.10)))</x:f>
        <x:v>0</x:v>
      </x:c>
      <x:c r="K65" t="n">
        <x:f>--(AND(J65=1,OR(E65=1,F65=1)))</x:f>
        <x:v>0</x:v>
      </x:c>
      <x:c r="L65" t="n">
        <x:f>--(MAX(SUMIFS('00 Compact View'!$H$6:$H$205,'00 Compact View'!$A$6:$A$205,A65,'00 Compact View'!$B$6:$B$205,"&gt;="&amp;B65-'03 Mind Knobs'!$B$16+1,'00 Compact View'!$B$6:$B$205,"&lt;="&amp;B65),SUMIFS('00 Compact View'!$I$6:$I$205,'00 Compact View'!$A$6:$A$205,A65,'00 Compact View'!$B$6:$B$205,"&gt;="&amp;B65-'03 Mind Knobs'!$B$16+1,'00 Compact View'!$B$6:$B$205,"&lt;="&amp;B65),SUMIFS('00 Compact View'!$J$6:$J$205,'00 Compact View'!$A$6:$A$205,A65,'00 Compact View'!$B$6:$B$205,"&gt;="&amp;B65-'03 Mind Knobs'!$B$16+1,'00 Compact View'!$B$6:$B$205,"&lt;="&amp;B65),SUMIFS('00 Compact View'!$K$6:$K$205,'00 Compact View'!$A$6:$A$205,A65,'00 Compact View'!$B$6:$B$205,"&gt;="&amp;B65-'03 Mind Knobs'!$B$16+1,'00 Compact View'!$B$6:$B$205,"&lt;="&amp;B65),SUMIFS('00 Compact View'!$L$6:$L$205,'00 Compact View'!$A$6:$A$205,A65,'00 Compact View'!$B$6:$B$205,"&gt;="&amp;B65-'03 Mind Knobs'!$B$16+1,'00 Compact View'!$B$6:$B$205,"&lt;="&amp;B65))&gt;=MAX(1,ROUNDUP('03 Mind Knobs'!$B$16*(1-'03 Mind Knobs'!$B$8),0)))</x:f>
        <x:v>0</x:v>
      </x:c>
      <x:c r="M65" t="n">
        <x:f>--(OR(I65=1,J65=1,K65=1,L65=1))</x:f>
        <x:v>0</x:v>
      </x:c>
    </x:row>
    <x:row r="66">
      <x:c r="A66" t="n">
        <x:f>'00 Compact View'!A66</x:f>
        <x:v>4</x:v>
      </x:c>
      <x:c r="B66" t="n">
        <x:f>'00 Compact View'!B66</x:f>
        <x:v>1</x:v>
      </x:c>
      <x:c r="C66" s="12" t="n">
        <x:f>SUM('00 Compact View'!H66:L66)/5</x:f>
        <x:v>0</x:v>
      </x:c>
      <x:c r="D66" s="12" t="n">
        <x:f>SUM('00 Compact View'!M66:Q66)/5</x:f>
        <x:v>0</x:v>
      </x:c>
      <x:c r="E66" s="12" t="n">
        <x:f>'00 Compact View'!R66</x:f>
        <x:v>0</x:v>
      </x:c>
      <x:c r="F66" s="12" t="n">
        <x:f>'00 Compact View'!T66</x:f>
        <x:v>0</x:v>
      </x:c>
      <x:c r="G66" s="12" t="n">
        <x:f>'04 Resource Body'!$B$10</x:f>
        <x:v>0</x:v>
      </x:c>
      <x:c r="H66" t="n">
        <x:f>--(M66=0)</x:f>
        <x:v>1</x:v>
      </x:c>
      <x:c r="I66" t="n">
        <x:f>--(MIN(1,C66+D66+(E66*'03 Mind Knobs'!$B$17)+(F66*'03 Mind Knobs'!$B$18)+('03 Mind Knobs'!$B$7*F66))&gt;=MAX(0.15,0.35+(G66*'03 Mind Knobs'!$B$10)-('03 Mind Knobs'!$B$13*0.15)))</x:f>
        <x:v>0</x:v>
      </x:c>
      <x:c r="J66" t="n">
        <x:f>--(MIN(1,C66+D66+(E66*'03 Mind Knobs'!$B$17)+(F66*'03 Mind Knobs'!$B$18)+('03 Mind Knobs'!$B$7*F66))&gt;=MIN(0.95,'03 Mind Knobs'!$B$19+(G66*'03 Mind Knobs'!$B$10)-('03 Mind Knobs'!$B$13*0.10)))</x:f>
        <x:v>0</x:v>
      </x:c>
      <x:c r="K66" t="n">
        <x:f>--(AND(J66=1,OR(E66=1,F66=1)))</x:f>
        <x:v>0</x:v>
      </x:c>
      <x:c r="L66" t="n">
        <x:f>--(MAX(SUMIFS('00 Compact View'!$H$6:$H$205,'00 Compact View'!$A$6:$A$205,A66,'00 Compact View'!$B$6:$B$205,"&gt;="&amp;B66-'03 Mind Knobs'!$B$16+1,'00 Compact View'!$B$6:$B$205,"&lt;="&amp;B66),SUMIFS('00 Compact View'!$I$6:$I$205,'00 Compact View'!$A$6:$A$205,A66,'00 Compact View'!$B$6:$B$205,"&gt;="&amp;B66-'03 Mind Knobs'!$B$16+1,'00 Compact View'!$B$6:$B$205,"&lt;="&amp;B66),SUMIFS('00 Compact View'!$J$6:$J$205,'00 Compact View'!$A$6:$A$205,A66,'00 Compact View'!$B$6:$B$205,"&gt;="&amp;B66-'03 Mind Knobs'!$B$16+1,'00 Compact View'!$B$6:$B$205,"&lt;="&amp;B66),SUMIFS('00 Compact View'!$K$6:$K$205,'00 Compact View'!$A$6:$A$205,A66,'00 Compact View'!$B$6:$B$205,"&gt;="&amp;B66-'03 Mind Knobs'!$B$16+1,'00 Compact View'!$B$6:$B$205,"&lt;="&amp;B66),SUMIFS('00 Compact View'!$L$6:$L$205,'00 Compact View'!$A$6:$A$205,A66,'00 Compact View'!$B$6:$B$205,"&gt;="&amp;B66-'03 Mind Knobs'!$B$16+1,'00 Compact View'!$B$6:$B$205,"&lt;="&amp;B66))&gt;=MAX(1,ROUNDUP('03 Mind Knobs'!$B$16*(1-'03 Mind Knobs'!$B$8),0)))</x:f>
        <x:v>0</x:v>
      </x:c>
      <x:c r="M66" t="n">
        <x:f>--(OR(I66=1,J66=1,K66=1,L66=1))</x:f>
        <x:v>0</x:v>
      </x:c>
    </x:row>
    <x:row r="67">
      <x:c r="A67" t="n">
        <x:f>'00 Compact View'!A67</x:f>
        <x:v>4</x:v>
      </x:c>
      <x:c r="B67" t="n">
        <x:f>'00 Compact View'!B67</x:f>
        <x:v>2</x:v>
      </x:c>
      <x:c r="C67" s="12" t="n">
        <x:f>SUM('00 Compact View'!H67:L67)/5</x:f>
        <x:v>0</x:v>
      </x:c>
      <x:c r="D67" s="12" t="n">
        <x:f>SUM('00 Compact View'!M67:Q67)/5</x:f>
        <x:v>0</x:v>
      </x:c>
      <x:c r="E67" s="12" t="n">
        <x:f>'00 Compact View'!R67</x:f>
        <x:v>0</x:v>
      </x:c>
      <x:c r="F67" s="12" t="n">
        <x:f>'00 Compact View'!T67</x:f>
        <x:v>0</x:v>
      </x:c>
      <x:c r="G67" s="12" t="n">
        <x:f>'04 Resource Body'!$B$10</x:f>
        <x:v>0</x:v>
      </x:c>
      <x:c r="H67" t="n">
        <x:f>--(M67=0)</x:f>
        <x:v>1</x:v>
      </x:c>
      <x:c r="I67" t="n">
        <x:f>--(MIN(1,C67+D67+(E67*'03 Mind Knobs'!$B$17)+(F67*'03 Mind Knobs'!$B$18)+('03 Mind Knobs'!$B$7*F67))&gt;=MAX(0.15,0.35+(G67*'03 Mind Knobs'!$B$10)-('03 Mind Knobs'!$B$13*0.15)))</x:f>
        <x:v>0</x:v>
      </x:c>
      <x:c r="J67" t="n">
        <x:f>--(MIN(1,C67+D67+(E67*'03 Mind Knobs'!$B$17)+(F67*'03 Mind Knobs'!$B$18)+('03 Mind Knobs'!$B$7*F67))&gt;=MIN(0.95,'03 Mind Knobs'!$B$19+(G67*'03 Mind Knobs'!$B$10)-('03 Mind Knobs'!$B$13*0.10)))</x:f>
        <x:v>0</x:v>
      </x:c>
      <x:c r="K67" t="n">
        <x:f>--(AND(J67=1,OR(E67=1,F67=1)))</x:f>
        <x:v>0</x:v>
      </x:c>
      <x:c r="L67" t="n">
        <x:f>--(MAX(SUMIFS('00 Compact View'!$H$6:$H$205,'00 Compact View'!$A$6:$A$205,A67,'00 Compact View'!$B$6:$B$205,"&gt;="&amp;B67-'03 Mind Knobs'!$B$16+1,'00 Compact View'!$B$6:$B$205,"&lt;="&amp;B67),SUMIFS('00 Compact View'!$I$6:$I$205,'00 Compact View'!$A$6:$A$205,A67,'00 Compact View'!$B$6:$B$205,"&gt;="&amp;B67-'03 Mind Knobs'!$B$16+1,'00 Compact View'!$B$6:$B$205,"&lt;="&amp;B67),SUMIFS('00 Compact View'!$J$6:$J$205,'00 Compact View'!$A$6:$A$205,A67,'00 Compact View'!$B$6:$B$205,"&gt;="&amp;B67-'03 Mind Knobs'!$B$16+1,'00 Compact View'!$B$6:$B$205,"&lt;="&amp;B67),SUMIFS('00 Compact View'!$K$6:$K$205,'00 Compact View'!$A$6:$A$205,A67,'00 Compact View'!$B$6:$B$205,"&gt;="&amp;B67-'03 Mind Knobs'!$B$16+1,'00 Compact View'!$B$6:$B$205,"&lt;="&amp;B67),SUMIFS('00 Compact View'!$L$6:$L$205,'00 Compact View'!$A$6:$A$205,A67,'00 Compact View'!$B$6:$B$205,"&gt;="&amp;B67-'03 Mind Knobs'!$B$16+1,'00 Compact View'!$B$6:$B$205,"&lt;="&amp;B67))&gt;=MAX(1,ROUNDUP('03 Mind Knobs'!$B$16*(1-'03 Mind Knobs'!$B$8),0)))</x:f>
        <x:v>0</x:v>
      </x:c>
      <x:c r="M67" t="n">
        <x:f>--(OR(I67=1,J67=1,K67=1,L67=1))</x:f>
        <x:v>0</x:v>
      </x:c>
    </x:row>
    <x:row r="68">
      <x:c r="A68" t="n">
        <x:f>'00 Compact View'!A68</x:f>
        <x:v>4</x:v>
      </x:c>
      <x:c r="B68" t="n">
        <x:f>'00 Compact View'!B68</x:f>
        <x:v>3</x:v>
      </x:c>
      <x:c r="C68" s="12" t="n">
        <x:f>SUM('00 Compact View'!H68:L68)/5</x:f>
        <x:v>0</x:v>
      </x:c>
      <x:c r="D68" s="12" t="n">
        <x:f>SUM('00 Compact View'!M68:Q68)/5</x:f>
        <x:v>0</x:v>
      </x:c>
      <x:c r="E68" s="12" t="n">
        <x:f>'00 Compact View'!R68</x:f>
        <x:v>0</x:v>
      </x:c>
      <x:c r="F68" s="12" t="n">
        <x:f>'00 Compact View'!T68</x:f>
        <x:v>0</x:v>
      </x:c>
      <x:c r="G68" s="12" t="n">
        <x:f>'04 Resource Body'!$B$10</x:f>
        <x:v>0</x:v>
      </x:c>
      <x:c r="H68" t="n">
        <x:f>--(M68=0)</x:f>
        <x:v>1</x:v>
      </x:c>
      <x:c r="I68" t="n">
        <x:f>--(MIN(1,C68+D68+(E68*'03 Mind Knobs'!$B$17)+(F68*'03 Mind Knobs'!$B$18)+('03 Mind Knobs'!$B$7*F68))&gt;=MAX(0.15,0.35+(G68*'03 Mind Knobs'!$B$10)-('03 Mind Knobs'!$B$13*0.15)))</x:f>
        <x:v>0</x:v>
      </x:c>
      <x:c r="J68" t="n">
        <x:f>--(MIN(1,C68+D68+(E68*'03 Mind Knobs'!$B$17)+(F68*'03 Mind Knobs'!$B$18)+('03 Mind Knobs'!$B$7*F68))&gt;=MIN(0.95,'03 Mind Knobs'!$B$19+(G68*'03 Mind Knobs'!$B$10)-('03 Mind Knobs'!$B$13*0.10)))</x:f>
        <x:v>0</x:v>
      </x:c>
      <x:c r="K68" t="n">
        <x:f>--(AND(J68=1,OR(E68=1,F68=1)))</x:f>
        <x:v>0</x:v>
      </x:c>
      <x:c r="L68" t="n">
        <x:f>--(MAX(SUMIFS('00 Compact View'!$H$6:$H$205,'00 Compact View'!$A$6:$A$205,A68,'00 Compact View'!$B$6:$B$205,"&gt;="&amp;B68-'03 Mind Knobs'!$B$16+1,'00 Compact View'!$B$6:$B$205,"&lt;="&amp;B68),SUMIFS('00 Compact View'!$I$6:$I$205,'00 Compact View'!$A$6:$A$205,A68,'00 Compact View'!$B$6:$B$205,"&gt;="&amp;B68-'03 Mind Knobs'!$B$16+1,'00 Compact View'!$B$6:$B$205,"&lt;="&amp;B68),SUMIFS('00 Compact View'!$J$6:$J$205,'00 Compact View'!$A$6:$A$205,A68,'00 Compact View'!$B$6:$B$205,"&gt;="&amp;B68-'03 Mind Knobs'!$B$16+1,'00 Compact View'!$B$6:$B$205,"&lt;="&amp;B68),SUMIFS('00 Compact View'!$K$6:$K$205,'00 Compact View'!$A$6:$A$205,A68,'00 Compact View'!$B$6:$B$205,"&gt;="&amp;B68-'03 Mind Knobs'!$B$16+1,'00 Compact View'!$B$6:$B$205,"&lt;="&amp;B68),SUMIFS('00 Compact View'!$L$6:$L$205,'00 Compact View'!$A$6:$A$205,A68,'00 Compact View'!$B$6:$B$205,"&gt;="&amp;B68-'03 Mind Knobs'!$B$16+1,'00 Compact View'!$B$6:$B$205,"&lt;="&amp;B68))&gt;=MAX(1,ROUNDUP('03 Mind Knobs'!$B$16*(1-'03 Mind Knobs'!$B$8),0)))</x:f>
        <x:v>0</x:v>
      </x:c>
      <x:c r="M68" t="n">
        <x:f>--(OR(I68=1,J68=1,K68=1,L68=1))</x:f>
        <x:v>0</x:v>
      </x:c>
    </x:row>
    <x:row r="69">
      <x:c r="A69" t="n">
        <x:f>'00 Compact View'!A69</x:f>
        <x:v>4</x:v>
      </x:c>
      <x:c r="B69" t="n">
        <x:f>'00 Compact View'!B69</x:f>
        <x:v>4</x:v>
      </x:c>
      <x:c r="C69" s="12" t="n">
        <x:f>SUM('00 Compact View'!H69:L69)/5</x:f>
        <x:v>0</x:v>
      </x:c>
      <x:c r="D69" s="12" t="n">
        <x:f>SUM('00 Compact View'!M69:Q69)/5</x:f>
        <x:v>0</x:v>
      </x:c>
      <x:c r="E69" s="12" t="n">
        <x:f>'00 Compact View'!R69</x:f>
        <x:v>0</x:v>
      </x:c>
      <x:c r="F69" s="12" t="n">
        <x:f>'00 Compact View'!T69</x:f>
        <x:v>0</x:v>
      </x:c>
      <x:c r="G69" s="12" t="n">
        <x:f>'04 Resource Body'!$B$10</x:f>
        <x:v>0</x:v>
      </x:c>
      <x:c r="H69" t="n">
        <x:f>--(M69=0)</x:f>
        <x:v>1</x:v>
      </x:c>
      <x:c r="I69" t="n">
        <x:f>--(MIN(1,C69+D69+(E69*'03 Mind Knobs'!$B$17)+(F69*'03 Mind Knobs'!$B$18)+('03 Mind Knobs'!$B$7*F69))&gt;=MAX(0.15,0.35+(G69*'03 Mind Knobs'!$B$10)-('03 Mind Knobs'!$B$13*0.15)))</x:f>
        <x:v>0</x:v>
      </x:c>
      <x:c r="J69" t="n">
        <x:f>--(MIN(1,C69+D69+(E69*'03 Mind Knobs'!$B$17)+(F69*'03 Mind Knobs'!$B$18)+('03 Mind Knobs'!$B$7*F69))&gt;=MIN(0.95,'03 Mind Knobs'!$B$19+(G69*'03 Mind Knobs'!$B$10)-('03 Mind Knobs'!$B$13*0.10)))</x:f>
        <x:v>0</x:v>
      </x:c>
      <x:c r="K69" t="n">
        <x:f>--(AND(J69=1,OR(E69=1,F69=1)))</x:f>
        <x:v>0</x:v>
      </x:c>
      <x:c r="L69" t="n">
        <x:f>--(MAX(SUMIFS('00 Compact View'!$H$6:$H$205,'00 Compact View'!$A$6:$A$205,A69,'00 Compact View'!$B$6:$B$205,"&gt;="&amp;B69-'03 Mind Knobs'!$B$16+1,'00 Compact View'!$B$6:$B$205,"&lt;="&amp;B69),SUMIFS('00 Compact View'!$I$6:$I$205,'00 Compact View'!$A$6:$A$205,A69,'00 Compact View'!$B$6:$B$205,"&gt;="&amp;B69-'03 Mind Knobs'!$B$16+1,'00 Compact View'!$B$6:$B$205,"&lt;="&amp;B69),SUMIFS('00 Compact View'!$J$6:$J$205,'00 Compact View'!$A$6:$A$205,A69,'00 Compact View'!$B$6:$B$205,"&gt;="&amp;B69-'03 Mind Knobs'!$B$16+1,'00 Compact View'!$B$6:$B$205,"&lt;="&amp;B69),SUMIFS('00 Compact View'!$K$6:$K$205,'00 Compact View'!$A$6:$A$205,A69,'00 Compact View'!$B$6:$B$205,"&gt;="&amp;B69-'03 Mind Knobs'!$B$16+1,'00 Compact View'!$B$6:$B$205,"&lt;="&amp;B69),SUMIFS('00 Compact View'!$L$6:$L$205,'00 Compact View'!$A$6:$A$205,A69,'00 Compact View'!$B$6:$B$205,"&gt;="&amp;B69-'03 Mind Knobs'!$B$16+1,'00 Compact View'!$B$6:$B$205,"&lt;="&amp;B69))&gt;=MAX(1,ROUNDUP('03 Mind Knobs'!$B$16*(1-'03 Mind Knobs'!$B$8),0)))</x:f>
        <x:v>0</x:v>
      </x:c>
      <x:c r="M69" t="n">
        <x:f>--(OR(I69=1,J69=1,K69=1,L69=1))</x:f>
        <x:v>0</x:v>
      </x:c>
    </x:row>
    <x:row r="70">
      <x:c r="A70" t="n">
        <x:f>'00 Compact View'!A70</x:f>
        <x:v>4</x:v>
      </x:c>
      <x:c r="B70" t="n">
        <x:f>'00 Compact View'!B70</x:f>
        <x:v>5</x:v>
      </x:c>
      <x:c r="C70" s="12" t="n">
        <x:f>SUM('00 Compact View'!H70:L70)/5</x:f>
        <x:v>0</x:v>
      </x:c>
      <x:c r="D70" s="12" t="n">
        <x:f>SUM('00 Compact View'!M70:Q70)/5</x:f>
        <x:v>0</x:v>
      </x:c>
      <x:c r="E70" s="12" t="n">
        <x:f>'00 Compact View'!R70</x:f>
        <x:v>0</x:v>
      </x:c>
      <x:c r="F70" s="12" t="n">
        <x:f>'00 Compact View'!T70</x:f>
        <x:v>0</x:v>
      </x:c>
      <x:c r="G70" s="12" t="n">
        <x:f>'04 Resource Body'!$B$10</x:f>
        <x:v>0</x:v>
      </x:c>
      <x:c r="H70" t="n">
        <x:f>--(M70=0)</x:f>
        <x:v>1</x:v>
      </x:c>
      <x:c r="I70" t="n">
        <x:f>--(MIN(1,C70+D70+(E70*'03 Mind Knobs'!$B$17)+(F70*'03 Mind Knobs'!$B$18)+('03 Mind Knobs'!$B$7*F70))&gt;=MAX(0.15,0.35+(G70*'03 Mind Knobs'!$B$10)-('03 Mind Knobs'!$B$13*0.15)))</x:f>
        <x:v>0</x:v>
      </x:c>
      <x:c r="J70" t="n">
        <x:f>--(MIN(1,C70+D70+(E70*'03 Mind Knobs'!$B$17)+(F70*'03 Mind Knobs'!$B$18)+('03 Mind Knobs'!$B$7*F70))&gt;=MIN(0.95,'03 Mind Knobs'!$B$19+(G70*'03 Mind Knobs'!$B$10)-('03 Mind Knobs'!$B$13*0.10)))</x:f>
        <x:v>0</x:v>
      </x:c>
      <x:c r="K70" t="n">
        <x:f>--(AND(J70=1,OR(E70=1,F70=1)))</x:f>
        <x:v>0</x:v>
      </x:c>
      <x:c r="L70" t="n">
        <x:f>--(MAX(SUMIFS('00 Compact View'!$H$6:$H$205,'00 Compact View'!$A$6:$A$205,A70,'00 Compact View'!$B$6:$B$205,"&gt;="&amp;B70-'03 Mind Knobs'!$B$16+1,'00 Compact View'!$B$6:$B$205,"&lt;="&amp;B70),SUMIFS('00 Compact View'!$I$6:$I$205,'00 Compact View'!$A$6:$A$205,A70,'00 Compact View'!$B$6:$B$205,"&gt;="&amp;B70-'03 Mind Knobs'!$B$16+1,'00 Compact View'!$B$6:$B$205,"&lt;="&amp;B70),SUMIFS('00 Compact View'!$J$6:$J$205,'00 Compact View'!$A$6:$A$205,A70,'00 Compact View'!$B$6:$B$205,"&gt;="&amp;B70-'03 Mind Knobs'!$B$16+1,'00 Compact View'!$B$6:$B$205,"&lt;="&amp;B70),SUMIFS('00 Compact View'!$K$6:$K$205,'00 Compact View'!$A$6:$A$205,A70,'00 Compact View'!$B$6:$B$205,"&gt;="&amp;B70-'03 Mind Knobs'!$B$16+1,'00 Compact View'!$B$6:$B$205,"&lt;="&amp;B70),SUMIFS('00 Compact View'!$L$6:$L$205,'00 Compact View'!$A$6:$A$205,A70,'00 Compact View'!$B$6:$B$205,"&gt;="&amp;B70-'03 Mind Knobs'!$B$16+1,'00 Compact View'!$B$6:$B$205,"&lt;="&amp;B70))&gt;=MAX(1,ROUNDUP('03 Mind Knobs'!$B$16*(1-'03 Mind Knobs'!$B$8),0)))</x:f>
        <x:v>0</x:v>
      </x:c>
      <x:c r="M70" t="n">
        <x:f>--(OR(I70=1,J70=1,K70=1,L70=1))</x:f>
        <x:v>0</x:v>
      </x:c>
    </x:row>
    <x:row r="71">
      <x:c r="A71" t="n">
        <x:f>'00 Compact View'!A71</x:f>
        <x:v>4</x:v>
      </x:c>
      <x:c r="B71" t="n">
        <x:f>'00 Compact View'!B71</x:f>
        <x:v>6</x:v>
      </x:c>
      <x:c r="C71" s="12" t="n">
        <x:f>SUM('00 Compact View'!H71:L71)/5</x:f>
        <x:v>0</x:v>
      </x:c>
      <x:c r="D71" s="12" t="n">
        <x:f>SUM('00 Compact View'!M71:Q71)/5</x:f>
        <x:v>0.2</x:v>
      </x:c>
      <x:c r="E71" s="12" t="n">
        <x:f>'00 Compact View'!R71</x:f>
        <x:v>0</x:v>
      </x:c>
      <x:c r="F71" s="12" t="n">
        <x:f>'00 Compact View'!T71</x:f>
        <x:v>1</x:v>
      </x:c>
      <x:c r="G71" s="12" t="n">
        <x:f>'04 Resource Body'!$B$10</x:f>
        <x:v>0</x:v>
      </x:c>
      <x:c r="H71" t="n">
        <x:f>--(M71=0)</x:f>
        <x:v>0</x:v>
      </x:c>
      <x:c r="I71" t="n">
        <x:f>--(MIN(1,C71+D71+(E71*'03 Mind Knobs'!$B$17)+(F71*'03 Mind Knobs'!$B$18)+('03 Mind Knobs'!$B$7*F71))&gt;=MAX(0.15,0.35+(G71*'03 Mind Knobs'!$B$10)-('03 Mind Knobs'!$B$13*0.15)))</x:f>
        <x:v>1</x:v>
      </x:c>
      <x:c r="J71" t="n">
        <x:f>--(MIN(1,C71+D71+(E71*'03 Mind Knobs'!$B$17)+(F71*'03 Mind Knobs'!$B$18)+('03 Mind Knobs'!$B$7*F71))&gt;=MIN(0.95,'03 Mind Knobs'!$B$19+(G71*'03 Mind Knobs'!$B$10)-('03 Mind Knobs'!$B$13*0.10)))</x:f>
        <x:v>1</x:v>
      </x:c>
      <x:c r="K71" t="n">
        <x:f>--(AND(J71=1,OR(E71=1,F71=1)))</x:f>
        <x:v>1</x:v>
      </x:c>
      <x:c r="L71" t="n">
        <x:f>--(MAX(SUMIFS('00 Compact View'!$H$6:$H$205,'00 Compact View'!$A$6:$A$205,A71,'00 Compact View'!$B$6:$B$205,"&gt;="&amp;B71-'03 Mind Knobs'!$B$16+1,'00 Compact View'!$B$6:$B$205,"&lt;="&amp;B71),SUMIFS('00 Compact View'!$I$6:$I$205,'00 Compact View'!$A$6:$A$205,A71,'00 Compact View'!$B$6:$B$205,"&gt;="&amp;B71-'03 Mind Knobs'!$B$16+1,'00 Compact View'!$B$6:$B$205,"&lt;="&amp;B71),SUMIFS('00 Compact View'!$J$6:$J$205,'00 Compact View'!$A$6:$A$205,A71,'00 Compact View'!$B$6:$B$205,"&gt;="&amp;B71-'03 Mind Knobs'!$B$16+1,'00 Compact View'!$B$6:$B$205,"&lt;="&amp;B71),SUMIFS('00 Compact View'!$K$6:$K$205,'00 Compact View'!$A$6:$A$205,A71,'00 Compact View'!$B$6:$B$205,"&gt;="&amp;B71-'03 Mind Knobs'!$B$16+1,'00 Compact View'!$B$6:$B$205,"&lt;="&amp;B71),SUMIFS('00 Compact View'!$L$6:$L$205,'00 Compact View'!$A$6:$A$205,A71,'00 Compact View'!$B$6:$B$205,"&gt;="&amp;B71-'03 Mind Knobs'!$B$16+1,'00 Compact View'!$B$6:$B$205,"&lt;="&amp;B71))&gt;=MAX(1,ROUNDUP('03 Mind Knobs'!$B$16*(1-'03 Mind Knobs'!$B$8),0)))</x:f>
        <x:v>0</x:v>
      </x:c>
      <x:c r="M71" t="n">
        <x:f>--(OR(I71=1,J71=1,K71=1,L71=1))</x:f>
        <x:v>1</x:v>
      </x:c>
    </x:row>
    <x:row r="72">
      <x:c r="A72" t="n">
        <x:f>'00 Compact View'!A72</x:f>
        <x:v>4</x:v>
      </x:c>
      <x:c r="B72" t="n">
        <x:f>'00 Compact View'!B72</x:f>
        <x:v>7</x:v>
      </x:c>
      <x:c r="C72" s="12" t="n">
        <x:f>SUM('00 Compact View'!H72:L72)/5</x:f>
        <x:v>0.2</x:v>
      </x:c>
      <x:c r="D72" s="12" t="n">
        <x:f>SUM('00 Compact View'!M72:Q72)/5</x:f>
        <x:v>0</x:v>
      </x:c>
      <x:c r="E72" s="12" t="n">
        <x:f>'00 Compact View'!R72</x:f>
        <x:v>0</x:v>
      </x:c>
      <x:c r="F72" s="12" t="n">
        <x:f>'00 Compact View'!T72</x:f>
        <x:v>1</x:v>
      </x:c>
      <x:c r="G72" s="12" t="n">
        <x:f>'04 Resource Body'!$B$10</x:f>
        <x:v>0</x:v>
      </x:c>
      <x:c r="H72" t="n">
        <x:f>--(M72=0)</x:f>
        <x:v>0</x:v>
      </x:c>
      <x:c r="I72" t="n">
        <x:f>--(MIN(1,C72+D72+(E72*'03 Mind Knobs'!$B$17)+(F72*'03 Mind Knobs'!$B$18)+('03 Mind Knobs'!$B$7*F72))&gt;=MAX(0.15,0.35+(G72*'03 Mind Knobs'!$B$10)-('03 Mind Knobs'!$B$13*0.15)))</x:f>
        <x:v>1</x:v>
      </x:c>
      <x:c r="J72" t="n">
        <x:f>--(MIN(1,C72+D72+(E72*'03 Mind Knobs'!$B$17)+(F72*'03 Mind Knobs'!$B$18)+('03 Mind Knobs'!$B$7*F72))&gt;=MIN(0.95,'03 Mind Knobs'!$B$19+(G72*'03 Mind Knobs'!$B$10)-('03 Mind Knobs'!$B$13*0.10)))</x:f>
        <x:v>1</x:v>
      </x:c>
      <x:c r="K72" t="n">
        <x:f>--(AND(J72=1,OR(E72=1,F72=1)))</x:f>
        <x:v>1</x:v>
      </x:c>
      <x:c r="L72" t="n">
        <x:f>--(MAX(SUMIFS('00 Compact View'!$H$6:$H$205,'00 Compact View'!$A$6:$A$205,A72,'00 Compact View'!$B$6:$B$205,"&gt;="&amp;B72-'03 Mind Knobs'!$B$16+1,'00 Compact View'!$B$6:$B$205,"&lt;="&amp;B72),SUMIFS('00 Compact View'!$I$6:$I$205,'00 Compact View'!$A$6:$A$205,A72,'00 Compact View'!$B$6:$B$205,"&gt;="&amp;B72-'03 Mind Knobs'!$B$16+1,'00 Compact View'!$B$6:$B$205,"&lt;="&amp;B72),SUMIFS('00 Compact View'!$J$6:$J$205,'00 Compact View'!$A$6:$A$205,A72,'00 Compact View'!$B$6:$B$205,"&gt;="&amp;B72-'03 Mind Knobs'!$B$16+1,'00 Compact View'!$B$6:$B$205,"&lt;="&amp;B72),SUMIFS('00 Compact View'!$K$6:$K$205,'00 Compact View'!$A$6:$A$205,A72,'00 Compact View'!$B$6:$B$205,"&gt;="&amp;B72-'03 Mind Knobs'!$B$16+1,'00 Compact View'!$B$6:$B$205,"&lt;="&amp;B72),SUMIFS('00 Compact View'!$L$6:$L$205,'00 Compact View'!$A$6:$A$205,A72,'00 Compact View'!$B$6:$B$205,"&gt;="&amp;B72-'03 Mind Knobs'!$B$16+1,'00 Compact View'!$B$6:$B$205,"&lt;="&amp;B72))&gt;=MAX(1,ROUNDUP('03 Mind Knobs'!$B$16*(1-'03 Mind Knobs'!$B$8),0)))</x:f>
        <x:v>0</x:v>
      </x:c>
      <x:c r="M72" t="n">
        <x:f>--(OR(I72=1,J72=1,K72=1,L72=1))</x:f>
        <x:v>1</x:v>
      </x:c>
    </x:row>
    <x:row r="73">
      <x:c r="A73" t="n">
        <x:f>'00 Compact View'!A73</x:f>
        <x:v>4</x:v>
      </x:c>
      <x:c r="B73" t="n">
        <x:f>'00 Compact View'!B73</x:f>
        <x:v>8</x:v>
      </x:c>
      <x:c r="C73" s="12" t="n">
        <x:f>SUM('00 Compact View'!H73:L73)/5</x:f>
        <x:v>0</x:v>
      </x:c>
      <x:c r="D73" s="12" t="n">
        <x:f>SUM('00 Compact View'!M73:Q73)/5</x:f>
        <x:v>0.2</x:v>
      </x:c>
      <x:c r="E73" s="12" t="n">
        <x:f>'00 Compact View'!R73</x:f>
        <x:v>0</x:v>
      </x:c>
      <x:c r="F73" s="12" t="n">
        <x:f>'00 Compact View'!T73</x:f>
        <x:v>1</x:v>
      </x:c>
      <x:c r="G73" s="12" t="n">
        <x:f>'04 Resource Body'!$B$10</x:f>
        <x:v>0</x:v>
      </x:c>
      <x:c r="H73" t="n">
        <x:f>--(M73=0)</x:f>
        <x:v>0</x:v>
      </x:c>
      <x:c r="I73" t="n">
        <x:f>--(MIN(1,C73+D73+(E73*'03 Mind Knobs'!$B$17)+(F73*'03 Mind Knobs'!$B$18)+('03 Mind Knobs'!$B$7*F73))&gt;=MAX(0.15,0.35+(G73*'03 Mind Knobs'!$B$10)-('03 Mind Knobs'!$B$13*0.15)))</x:f>
        <x:v>1</x:v>
      </x:c>
      <x:c r="J73" t="n">
        <x:f>--(MIN(1,C73+D73+(E73*'03 Mind Knobs'!$B$17)+(F73*'03 Mind Knobs'!$B$18)+('03 Mind Knobs'!$B$7*F73))&gt;=MIN(0.95,'03 Mind Knobs'!$B$19+(G73*'03 Mind Knobs'!$B$10)-('03 Mind Knobs'!$B$13*0.10)))</x:f>
        <x:v>1</x:v>
      </x:c>
      <x:c r="K73" t="n">
        <x:f>--(AND(J73=1,OR(E73=1,F73=1)))</x:f>
        <x:v>1</x:v>
      </x:c>
      <x:c r="L73" t="n">
        <x:f>--(MAX(SUMIFS('00 Compact View'!$H$6:$H$205,'00 Compact View'!$A$6:$A$205,A73,'00 Compact View'!$B$6:$B$205,"&gt;="&amp;B73-'03 Mind Knobs'!$B$16+1,'00 Compact View'!$B$6:$B$205,"&lt;="&amp;B73),SUMIFS('00 Compact View'!$I$6:$I$205,'00 Compact View'!$A$6:$A$205,A73,'00 Compact View'!$B$6:$B$205,"&gt;="&amp;B73-'03 Mind Knobs'!$B$16+1,'00 Compact View'!$B$6:$B$205,"&lt;="&amp;B73),SUMIFS('00 Compact View'!$J$6:$J$205,'00 Compact View'!$A$6:$A$205,A73,'00 Compact View'!$B$6:$B$205,"&gt;="&amp;B73-'03 Mind Knobs'!$B$16+1,'00 Compact View'!$B$6:$B$205,"&lt;="&amp;B73),SUMIFS('00 Compact View'!$K$6:$K$205,'00 Compact View'!$A$6:$A$205,A73,'00 Compact View'!$B$6:$B$205,"&gt;="&amp;B73-'03 Mind Knobs'!$B$16+1,'00 Compact View'!$B$6:$B$205,"&lt;="&amp;B73),SUMIFS('00 Compact View'!$L$6:$L$205,'00 Compact View'!$A$6:$A$205,A73,'00 Compact View'!$B$6:$B$205,"&gt;="&amp;B73-'03 Mind Knobs'!$B$16+1,'00 Compact View'!$B$6:$B$205,"&lt;="&amp;B73))&gt;=MAX(1,ROUNDUP('03 Mind Knobs'!$B$16*(1-'03 Mind Knobs'!$B$8),0)))</x:f>
        <x:v>0</x:v>
      </x:c>
      <x:c r="M73" t="n">
        <x:f>--(OR(I73=1,J73=1,K73=1,L73=1))</x:f>
        <x:v>1</x:v>
      </x:c>
    </x:row>
    <x:row r="74">
      <x:c r="A74" t="n">
        <x:f>'00 Compact View'!A74</x:f>
        <x:v>4</x:v>
      </x:c>
      <x:c r="B74" t="n">
        <x:f>'00 Compact View'!B74</x:f>
        <x:v>9</x:v>
      </x:c>
      <x:c r="C74" s="12" t="n">
        <x:f>SUM('00 Compact View'!H74:L74)/5</x:f>
        <x:v>0</x:v>
      </x:c>
      <x:c r="D74" s="12" t="n">
        <x:f>SUM('00 Compact View'!M74:Q74)/5</x:f>
        <x:v>0</x:v>
      </x:c>
      <x:c r="E74" s="12" t="n">
        <x:f>'00 Compact View'!R74</x:f>
        <x:v>0</x:v>
      </x:c>
      <x:c r="F74" s="12" t="n">
        <x:f>'00 Compact View'!T74</x:f>
        <x:v>1</x:v>
      </x:c>
      <x:c r="G74" s="12" t="n">
        <x:f>'04 Resource Body'!$B$10</x:f>
        <x:v>0</x:v>
      </x:c>
      <x:c r="H74" t="n">
        <x:f>--(M74=0)</x:f>
        <x:v>0</x:v>
      </x:c>
      <x:c r="I74" t="n">
        <x:f>--(MIN(1,C74+D74+(E74*'03 Mind Knobs'!$B$17)+(F74*'03 Mind Knobs'!$B$18)+('03 Mind Knobs'!$B$7*F74))&gt;=MAX(0.15,0.35+(G74*'03 Mind Knobs'!$B$10)-('03 Mind Knobs'!$B$13*0.15)))</x:f>
        <x:v>1</x:v>
      </x:c>
      <x:c r="J74" t="n">
        <x:f>--(MIN(1,C74+D74+(E74*'03 Mind Knobs'!$B$17)+(F74*'03 Mind Knobs'!$B$18)+('03 Mind Knobs'!$B$7*F74))&gt;=MIN(0.95,'03 Mind Knobs'!$B$19+(G74*'03 Mind Knobs'!$B$10)-('03 Mind Knobs'!$B$13*0.10)))</x:f>
        <x:v>1</x:v>
      </x:c>
      <x:c r="K74" t="n">
        <x:f>--(AND(J74=1,OR(E74=1,F74=1)))</x:f>
        <x:v>1</x:v>
      </x:c>
      <x:c r="L74" t="n">
        <x:f>--(MAX(SUMIFS('00 Compact View'!$H$6:$H$205,'00 Compact View'!$A$6:$A$205,A74,'00 Compact View'!$B$6:$B$205,"&gt;="&amp;B74-'03 Mind Knobs'!$B$16+1,'00 Compact View'!$B$6:$B$205,"&lt;="&amp;B74),SUMIFS('00 Compact View'!$I$6:$I$205,'00 Compact View'!$A$6:$A$205,A74,'00 Compact View'!$B$6:$B$205,"&gt;="&amp;B74-'03 Mind Knobs'!$B$16+1,'00 Compact View'!$B$6:$B$205,"&lt;="&amp;B74),SUMIFS('00 Compact View'!$J$6:$J$205,'00 Compact View'!$A$6:$A$205,A74,'00 Compact View'!$B$6:$B$205,"&gt;="&amp;B74-'03 Mind Knobs'!$B$16+1,'00 Compact View'!$B$6:$B$205,"&lt;="&amp;B74),SUMIFS('00 Compact View'!$K$6:$K$205,'00 Compact View'!$A$6:$A$205,A74,'00 Compact View'!$B$6:$B$205,"&gt;="&amp;B74-'03 Mind Knobs'!$B$16+1,'00 Compact View'!$B$6:$B$205,"&lt;="&amp;B74),SUMIFS('00 Compact View'!$L$6:$L$205,'00 Compact View'!$A$6:$A$205,A74,'00 Compact View'!$B$6:$B$205,"&gt;="&amp;B74-'03 Mind Knobs'!$B$16+1,'00 Compact View'!$B$6:$B$205,"&lt;="&amp;B74))&gt;=MAX(1,ROUNDUP('03 Mind Knobs'!$B$16*(1-'03 Mind Knobs'!$B$8),0)))</x:f>
        <x:v>0</x:v>
      </x:c>
      <x:c r="M74" t="n">
        <x:f>--(OR(I74=1,J74=1,K74=1,L74=1))</x:f>
        <x:v>1</x:v>
      </x:c>
    </x:row>
    <x:row r="75">
      <x:c r="A75" t="n">
        <x:f>'00 Compact View'!A75</x:f>
        <x:v>4</x:v>
      </x:c>
      <x:c r="B75" t="n">
        <x:f>'00 Compact View'!B75</x:f>
        <x:v>10</x:v>
      </x:c>
      <x:c r="C75" s="12" t="n">
        <x:f>SUM('00 Compact View'!H75:L75)/5</x:f>
        <x:v>0</x:v>
      </x:c>
      <x:c r="D75" s="12" t="n">
        <x:f>SUM('00 Compact View'!M75:Q75)/5</x:f>
        <x:v>0</x:v>
      </x:c>
      <x:c r="E75" s="12" t="n">
        <x:f>'00 Compact View'!R75</x:f>
        <x:v>0</x:v>
      </x:c>
      <x:c r="F75" s="12" t="n">
        <x:f>'00 Compact View'!T75</x:f>
        <x:v>0</x:v>
      </x:c>
      <x:c r="G75" s="12" t="n">
        <x:f>'04 Resource Body'!$B$10</x:f>
        <x:v>0</x:v>
      </x:c>
      <x:c r="H75" t="n">
        <x:f>--(M75=0)</x:f>
        <x:v>1</x:v>
      </x:c>
      <x:c r="I75" t="n">
        <x:f>--(MIN(1,C75+D75+(E75*'03 Mind Knobs'!$B$17)+(F75*'03 Mind Knobs'!$B$18)+('03 Mind Knobs'!$B$7*F75))&gt;=MAX(0.15,0.35+(G75*'03 Mind Knobs'!$B$10)-('03 Mind Knobs'!$B$13*0.15)))</x:f>
        <x:v>0</x:v>
      </x:c>
      <x:c r="J75" t="n">
        <x:f>--(MIN(1,C75+D75+(E75*'03 Mind Knobs'!$B$17)+(F75*'03 Mind Knobs'!$B$18)+('03 Mind Knobs'!$B$7*F75))&gt;=MIN(0.95,'03 Mind Knobs'!$B$19+(G75*'03 Mind Knobs'!$B$10)-('03 Mind Knobs'!$B$13*0.10)))</x:f>
        <x:v>0</x:v>
      </x:c>
      <x:c r="K75" t="n">
        <x:f>--(AND(J75=1,OR(E75=1,F75=1)))</x:f>
        <x:v>0</x:v>
      </x:c>
      <x:c r="L75" t="n">
        <x:f>--(MAX(SUMIFS('00 Compact View'!$H$6:$H$205,'00 Compact View'!$A$6:$A$205,A75,'00 Compact View'!$B$6:$B$205,"&gt;="&amp;B75-'03 Mind Knobs'!$B$16+1,'00 Compact View'!$B$6:$B$205,"&lt;="&amp;B75),SUMIFS('00 Compact View'!$I$6:$I$205,'00 Compact View'!$A$6:$A$205,A75,'00 Compact View'!$B$6:$B$205,"&gt;="&amp;B75-'03 Mind Knobs'!$B$16+1,'00 Compact View'!$B$6:$B$205,"&lt;="&amp;B75),SUMIFS('00 Compact View'!$J$6:$J$205,'00 Compact View'!$A$6:$A$205,A75,'00 Compact View'!$B$6:$B$205,"&gt;="&amp;B75-'03 Mind Knobs'!$B$16+1,'00 Compact View'!$B$6:$B$205,"&lt;="&amp;B75),SUMIFS('00 Compact View'!$K$6:$K$205,'00 Compact View'!$A$6:$A$205,A75,'00 Compact View'!$B$6:$B$205,"&gt;="&amp;B75-'03 Mind Knobs'!$B$16+1,'00 Compact View'!$B$6:$B$205,"&lt;="&amp;B75),SUMIFS('00 Compact View'!$L$6:$L$205,'00 Compact View'!$A$6:$A$205,A75,'00 Compact View'!$B$6:$B$205,"&gt;="&amp;B75-'03 Mind Knobs'!$B$16+1,'00 Compact View'!$B$6:$B$205,"&lt;="&amp;B75))&gt;=MAX(1,ROUNDUP('03 Mind Knobs'!$B$16*(1-'03 Mind Knobs'!$B$8),0)))</x:f>
        <x:v>0</x:v>
      </x:c>
      <x:c r="M75" t="n">
        <x:f>--(OR(I75=1,J75=1,K75=1,L75=1))</x:f>
        <x:v>0</x:v>
      </x:c>
    </x:row>
    <x:row r="76">
      <x:c r="A76" t="n">
        <x:f>'00 Compact View'!A76</x:f>
        <x:v>4</x:v>
      </x:c>
      <x:c r="B76" t="n">
        <x:f>'00 Compact View'!B76</x:f>
        <x:v>11</x:v>
      </x:c>
      <x:c r="C76" s="12" t="n">
        <x:f>SUM('00 Compact View'!H76:L76)/5</x:f>
        <x:v>0</x:v>
      </x:c>
      <x:c r="D76" s="12" t="n">
        <x:f>SUM('00 Compact View'!M76:Q76)/5</x:f>
        <x:v>0</x:v>
      </x:c>
      <x:c r="E76" s="12" t="n">
        <x:f>'00 Compact View'!R76</x:f>
        <x:v>0</x:v>
      </x:c>
      <x:c r="F76" s="12" t="n">
        <x:f>'00 Compact View'!T76</x:f>
        <x:v>0</x:v>
      </x:c>
      <x:c r="G76" s="12" t="n">
        <x:f>'04 Resource Body'!$B$10</x:f>
        <x:v>0</x:v>
      </x:c>
      <x:c r="H76" t="n">
        <x:f>--(M76=0)</x:f>
        <x:v>1</x:v>
      </x:c>
      <x:c r="I76" t="n">
        <x:f>--(MIN(1,C76+D76+(E76*'03 Mind Knobs'!$B$17)+(F76*'03 Mind Knobs'!$B$18)+('03 Mind Knobs'!$B$7*F76))&gt;=MAX(0.15,0.35+(G76*'03 Mind Knobs'!$B$10)-('03 Mind Knobs'!$B$13*0.15)))</x:f>
        <x:v>0</x:v>
      </x:c>
      <x:c r="J76" t="n">
        <x:f>--(MIN(1,C76+D76+(E76*'03 Mind Knobs'!$B$17)+(F76*'03 Mind Knobs'!$B$18)+('03 Mind Knobs'!$B$7*F76))&gt;=MIN(0.95,'03 Mind Knobs'!$B$19+(G76*'03 Mind Knobs'!$B$10)-('03 Mind Knobs'!$B$13*0.10)))</x:f>
        <x:v>0</x:v>
      </x:c>
      <x:c r="K76" t="n">
        <x:f>--(AND(J76=1,OR(E76=1,F76=1)))</x:f>
        <x:v>0</x:v>
      </x:c>
      <x:c r="L76" t="n">
        <x:f>--(MAX(SUMIFS('00 Compact View'!$H$6:$H$205,'00 Compact View'!$A$6:$A$205,A76,'00 Compact View'!$B$6:$B$205,"&gt;="&amp;B76-'03 Mind Knobs'!$B$16+1,'00 Compact View'!$B$6:$B$205,"&lt;="&amp;B76),SUMIFS('00 Compact View'!$I$6:$I$205,'00 Compact View'!$A$6:$A$205,A76,'00 Compact View'!$B$6:$B$205,"&gt;="&amp;B76-'03 Mind Knobs'!$B$16+1,'00 Compact View'!$B$6:$B$205,"&lt;="&amp;B76),SUMIFS('00 Compact View'!$J$6:$J$205,'00 Compact View'!$A$6:$A$205,A76,'00 Compact View'!$B$6:$B$205,"&gt;="&amp;B76-'03 Mind Knobs'!$B$16+1,'00 Compact View'!$B$6:$B$205,"&lt;="&amp;B76),SUMIFS('00 Compact View'!$K$6:$K$205,'00 Compact View'!$A$6:$A$205,A76,'00 Compact View'!$B$6:$B$205,"&gt;="&amp;B76-'03 Mind Knobs'!$B$16+1,'00 Compact View'!$B$6:$B$205,"&lt;="&amp;B76),SUMIFS('00 Compact View'!$L$6:$L$205,'00 Compact View'!$A$6:$A$205,A76,'00 Compact View'!$B$6:$B$205,"&gt;="&amp;B76-'03 Mind Knobs'!$B$16+1,'00 Compact View'!$B$6:$B$205,"&lt;="&amp;B76))&gt;=MAX(1,ROUNDUP('03 Mind Knobs'!$B$16*(1-'03 Mind Knobs'!$B$8),0)))</x:f>
        <x:v>0</x:v>
      </x:c>
      <x:c r="M76" t="n">
        <x:f>--(OR(I76=1,J76=1,K76=1,L76=1))</x:f>
        <x:v>0</x:v>
      </x:c>
    </x:row>
    <x:row r="77">
      <x:c r="A77" t="n">
        <x:f>'00 Compact View'!A77</x:f>
        <x:v>4</x:v>
      </x:c>
      <x:c r="B77" t="n">
        <x:f>'00 Compact View'!B77</x:f>
        <x:v>12</x:v>
      </x:c>
      <x:c r="C77" s="12" t="n">
        <x:f>SUM('00 Compact View'!H77:L77)/5</x:f>
        <x:v>0</x:v>
      </x:c>
      <x:c r="D77" s="12" t="n">
        <x:f>SUM('00 Compact View'!M77:Q77)/5</x:f>
        <x:v>0</x:v>
      </x:c>
      <x:c r="E77" s="12" t="n">
        <x:f>'00 Compact View'!R77</x:f>
        <x:v>0</x:v>
      </x:c>
      <x:c r="F77" s="12" t="n">
        <x:f>'00 Compact View'!T77</x:f>
        <x:v>0</x:v>
      </x:c>
      <x:c r="G77" s="12" t="n">
        <x:f>'04 Resource Body'!$B$10</x:f>
        <x:v>0</x:v>
      </x:c>
      <x:c r="H77" t="n">
        <x:f>--(M77=0)</x:f>
        <x:v>1</x:v>
      </x:c>
      <x:c r="I77" t="n">
        <x:f>--(MIN(1,C77+D77+(E77*'03 Mind Knobs'!$B$17)+(F77*'03 Mind Knobs'!$B$18)+('03 Mind Knobs'!$B$7*F77))&gt;=MAX(0.15,0.35+(G77*'03 Mind Knobs'!$B$10)-('03 Mind Knobs'!$B$13*0.15)))</x:f>
        <x:v>0</x:v>
      </x:c>
      <x:c r="J77" t="n">
        <x:f>--(MIN(1,C77+D77+(E77*'03 Mind Knobs'!$B$17)+(F77*'03 Mind Knobs'!$B$18)+('03 Mind Knobs'!$B$7*F77))&gt;=MIN(0.95,'03 Mind Knobs'!$B$19+(G77*'03 Mind Knobs'!$B$10)-('03 Mind Knobs'!$B$13*0.10)))</x:f>
        <x:v>0</x:v>
      </x:c>
      <x:c r="K77" t="n">
        <x:f>--(AND(J77=1,OR(E77=1,F77=1)))</x:f>
        <x:v>0</x:v>
      </x:c>
      <x:c r="L77" t="n">
        <x:f>--(MAX(SUMIFS('00 Compact View'!$H$6:$H$205,'00 Compact View'!$A$6:$A$205,A77,'00 Compact View'!$B$6:$B$205,"&gt;="&amp;B77-'03 Mind Knobs'!$B$16+1,'00 Compact View'!$B$6:$B$205,"&lt;="&amp;B77),SUMIFS('00 Compact View'!$I$6:$I$205,'00 Compact View'!$A$6:$A$205,A77,'00 Compact View'!$B$6:$B$205,"&gt;="&amp;B77-'03 Mind Knobs'!$B$16+1,'00 Compact View'!$B$6:$B$205,"&lt;="&amp;B77),SUMIFS('00 Compact View'!$J$6:$J$205,'00 Compact View'!$A$6:$A$205,A77,'00 Compact View'!$B$6:$B$205,"&gt;="&amp;B77-'03 Mind Knobs'!$B$16+1,'00 Compact View'!$B$6:$B$205,"&lt;="&amp;B77),SUMIFS('00 Compact View'!$K$6:$K$205,'00 Compact View'!$A$6:$A$205,A77,'00 Compact View'!$B$6:$B$205,"&gt;="&amp;B77-'03 Mind Knobs'!$B$16+1,'00 Compact View'!$B$6:$B$205,"&lt;="&amp;B77),SUMIFS('00 Compact View'!$L$6:$L$205,'00 Compact View'!$A$6:$A$205,A77,'00 Compact View'!$B$6:$B$205,"&gt;="&amp;B77-'03 Mind Knobs'!$B$16+1,'00 Compact View'!$B$6:$B$205,"&lt;="&amp;B77))&gt;=MAX(1,ROUNDUP('03 Mind Knobs'!$B$16*(1-'03 Mind Knobs'!$B$8),0)))</x:f>
        <x:v>0</x:v>
      </x:c>
      <x:c r="M77" t="n">
        <x:f>--(OR(I77=1,J77=1,K77=1,L77=1))</x:f>
        <x:v>0</x:v>
      </x:c>
    </x:row>
    <x:row r="78">
      <x:c r="A78" t="n">
        <x:f>'00 Compact View'!A78</x:f>
        <x:v>4</x:v>
      </x:c>
      <x:c r="B78" t="n">
        <x:f>'00 Compact View'!B78</x:f>
        <x:v>13</x:v>
      </x:c>
      <x:c r="C78" s="12" t="n">
        <x:f>SUM('00 Compact View'!H78:L78)/5</x:f>
        <x:v>0</x:v>
      </x:c>
      <x:c r="D78" s="12" t="n">
        <x:f>SUM('00 Compact View'!M78:Q78)/5</x:f>
        <x:v>0</x:v>
      </x:c>
      <x:c r="E78" s="12" t="n">
        <x:f>'00 Compact View'!R78</x:f>
        <x:v>0</x:v>
      </x:c>
      <x:c r="F78" s="12" t="n">
        <x:f>'00 Compact View'!T78</x:f>
        <x:v>0</x:v>
      </x:c>
      <x:c r="G78" s="12" t="n">
        <x:f>'04 Resource Body'!$B$10</x:f>
        <x:v>0</x:v>
      </x:c>
      <x:c r="H78" t="n">
        <x:f>--(M78=0)</x:f>
        <x:v>1</x:v>
      </x:c>
      <x:c r="I78" t="n">
        <x:f>--(MIN(1,C78+D78+(E78*'03 Mind Knobs'!$B$17)+(F78*'03 Mind Knobs'!$B$18)+('03 Mind Knobs'!$B$7*F78))&gt;=MAX(0.15,0.35+(G78*'03 Mind Knobs'!$B$10)-('03 Mind Knobs'!$B$13*0.15)))</x:f>
        <x:v>0</x:v>
      </x:c>
      <x:c r="J78" t="n">
        <x:f>--(MIN(1,C78+D78+(E78*'03 Mind Knobs'!$B$17)+(F78*'03 Mind Knobs'!$B$18)+('03 Mind Knobs'!$B$7*F78))&gt;=MIN(0.95,'03 Mind Knobs'!$B$19+(G78*'03 Mind Knobs'!$B$10)-('03 Mind Knobs'!$B$13*0.10)))</x:f>
        <x:v>0</x:v>
      </x:c>
      <x:c r="K78" t="n">
        <x:f>--(AND(J78=1,OR(E78=1,F78=1)))</x:f>
        <x:v>0</x:v>
      </x:c>
      <x:c r="L78" t="n">
        <x:f>--(MAX(SUMIFS('00 Compact View'!$H$6:$H$205,'00 Compact View'!$A$6:$A$205,A78,'00 Compact View'!$B$6:$B$205,"&gt;="&amp;B78-'03 Mind Knobs'!$B$16+1,'00 Compact View'!$B$6:$B$205,"&lt;="&amp;B78),SUMIFS('00 Compact View'!$I$6:$I$205,'00 Compact View'!$A$6:$A$205,A78,'00 Compact View'!$B$6:$B$205,"&gt;="&amp;B78-'03 Mind Knobs'!$B$16+1,'00 Compact View'!$B$6:$B$205,"&lt;="&amp;B78),SUMIFS('00 Compact View'!$J$6:$J$205,'00 Compact View'!$A$6:$A$205,A78,'00 Compact View'!$B$6:$B$205,"&gt;="&amp;B78-'03 Mind Knobs'!$B$16+1,'00 Compact View'!$B$6:$B$205,"&lt;="&amp;B78),SUMIFS('00 Compact View'!$K$6:$K$205,'00 Compact View'!$A$6:$A$205,A78,'00 Compact View'!$B$6:$B$205,"&gt;="&amp;B78-'03 Mind Knobs'!$B$16+1,'00 Compact View'!$B$6:$B$205,"&lt;="&amp;B78),SUMIFS('00 Compact View'!$L$6:$L$205,'00 Compact View'!$A$6:$A$205,A78,'00 Compact View'!$B$6:$B$205,"&gt;="&amp;B78-'03 Mind Knobs'!$B$16+1,'00 Compact View'!$B$6:$B$205,"&lt;="&amp;B78))&gt;=MAX(1,ROUNDUP('03 Mind Knobs'!$B$16*(1-'03 Mind Knobs'!$B$8),0)))</x:f>
        <x:v>0</x:v>
      </x:c>
      <x:c r="M78" t="n">
        <x:f>--(OR(I78=1,J78=1,K78=1,L78=1))</x:f>
        <x:v>0</x:v>
      </x:c>
    </x:row>
    <x:row r="79">
      <x:c r="A79" t="n">
        <x:f>'00 Compact View'!A79</x:f>
        <x:v>4</x:v>
      </x:c>
      <x:c r="B79" t="n">
        <x:f>'00 Compact View'!B79</x:f>
        <x:v>14</x:v>
      </x:c>
      <x:c r="C79" s="12" t="n">
        <x:f>SUM('00 Compact View'!H79:L79)/5</x:f>
        <x:v>0</x:v>
      </x:c>
      <x:c r="D79" s="12" t="n">
        <x:f>SUM('00 Compact View'!M79:Q79)/5</x:f>
        <x:v>0</x:v>
      </x:c>
      <x:c r="E79" s="12" t="n">
        <x:f>'00 Compact View'!R79</x:f>
        <x:v>0</x:v>
      </x:c>
      <x:c r="F79" s="12" t="n">
        <x:f>'00 Compact View'!T79</x:f>
        <x:v>0</x:v>
      </x:c>
      <x:c r="G79" s="12" t="n">
        <x:f>'04 Resource Body'!$B$10</x:f>
        <x:v>0</x:v>
      </x:c>
      <x:c r="H79" t="n">
        <x:f>--(M79=0)</x:f>
        <x:v>1</x:v>
      </x:c>
      <x:c r="I79" t="n">
        <x:f>--(MIN(1,C79+D79+(E79*'03 Mind Knobs'!$B$17)+(F79*'03 Mind Knobs'!$B$18)+('03 Mind Knobs'!$B$7*F79))&gt;=MAX(0.15,0.35+(G79*'03 Mind Knobs'!$B$10)-('03 Mind Knobs'!$B$13*0.15)))</x:f>
        <x:v>0</x:v>
      </x:c>
      <x:c r="J79" t="n">
        <x:f>--(MIN(1,C79+D79+(E79*'03 Mind Knobs'!$B$17)+(F79*'03 Mind Knobs'!$B$18)+('03 Mind Knobs'!$B$7*F79))&gt;=MIN(0.95,'03 Mind Knobs'!$B$19+(G79*'03 Mind Knobs'!$B$10)-('03 Mind Knobs'!$B$13*0.10)))</x:f>
        <x:v>0</x:v>
      </x:c>
      <x:c r="K79" t="n">
        <x:f>--(AND(J79=1,OR(E79=1,F79=1)))</x:f>
        <x:v>0</x:v>
      </x:c>
      <x:c r="L79" t="n">
        <x:f>--(MAX(SUMIFS('00 Compact View'!$H$6:$H$205,'00 Compact View'!$A$6:$A$205,A79,'00 Compact View'!$B$6:$B$205,"&gt;="&amp;B79-'03 Mind Knobs'!$B$16+1,'00 Compact View'!$B$6:$B$205,"&lt;="&amp;B79),SUMIFS('00 Compact View'!$I$6:$I$205,'00 Compact View'!$A$6:$A$205,A79,'00 Compact View'!$B$6:$B$205,"&gt;="&amp;B79-'03 Mind Knobs'!$B$16+1,'00 Compact View'!$B$6:$B$205,"&lt;="&amp;B79),SUMIFS('00 Compact View'!$J$6:$J$205,'00 Compact View'!$A$6:$A$205,A79,'00 Compact View'!$B$6:$B$205,"&gt;="&amp;B79-'03 Mind Knobs'!$B$16+1,'00 Compact View'!$B$6:$B$205,"&lt;="&amp;B79),SUMIFS('00 Compact View'!$K$6:$K$205,'00 Compact View'!$A$6:$A$205,A79,'00 Compact View'!$B$6:$B$205,"&gt;="&amp;B79-'03 Mind Knobs'!$B$16+1,'00 Compact View'!$B$6:$B$205,"&lt;="&amp;B79),SUMIFS('00 Compact View'!$L$6:$L$205,'00 Compact View'!$A$6:$A$205,A79,'00 Compact View'!$B$6:$B$205,"&gt;="&amp;B79-'03 Mind Knobs'!$B$16+1,'00 Compact View'!$B$6:$B$205,"&lt;="&amp;B79))&gt;=MAX(1,ROUNDUP('03 Mind Knobs'!$B$16*(1-'03 Mind Knobs'!$B$8),0)))</x:f>
        <x:v>0</x:v>
      </x:c>
      <x:c r="M79" t="n">
        <x:f>--(OR(I79=1,J79=1,K79=1,L79=1))</x:f>
        <x:v>0</x:v>
      </x:c>
    </x:row>
    <x:row r="80">
      <x:c r="A80" t="n">
        <x:f>'00 Compact View'!A80</x:f>
        <x:v>4</x:v>
      </x:c>
      <x:c r="B80" t="n">
        <x:f>'00 Compact View'!B80</x:f>
        <x:v>15</x:v>
      </x:c>
      <x:c r="C80" s="12" t="n">
        <x:f>SUM('00 Compact View'!H80:L80)/5</x:f>
        <x:v>0</x:v>
      </x:c>
      <x:c r="D80" s="12" t="n">
        <x:f>SUM('00 Compact View'!M80:Q80)/5</x:f>
        <x:v>0</x:v>
      </x:c>
      <x:c r="E80" s="12" t="n">
        <x:f>'00 Compact View'!R80</x:f>
        <x:v>0</x:v>
      </x:c>
      <x:c r="F80" s="12" t="n">
        <x:f>'00 Compact View'!T80</x:f>
        <x:v>0</x:v>
      </x:c>
      <x:c r="G80" s="12" t="n">
        <x:f>'04 Resource Body'!$B$10</x:f>
        <x:v>0</x:v>
      </x:c>
      <x:c r="H80" t="n">
        <x:f>--(M80=0)</x:f>
        <x:v>1</x:v>
      </x:c>
      <x:c r="I80" t="n">
        <x:f>--(MIN(1,C80+D80+(E80*'03 Mind Knobs'!$B$17)+(F80*'03 Mind Knobs'!$B$18)+('03 Mind Knobs'!$B$7*F80))&gt;=MAX(0.15,0.35+(G80*'03 Mind Knobs'!$B$10)-('03 Mind Knobs'!$B$13*0.15)))</x:f>
        <x:v>0</x:v>
      </x:c>
      <x:c r="J80" t="n">
        <x:f>--(MIN(1,C80+D80+(E80*'03 Mind Knobs'!$B$17)+(F80*'03 Mind Knobs'!$B$18)+('03 Mind Knobs'!$B$7*F80))&gt;=MIN(0.95,'03 Mind Knobs'!$B$19+(G80*'03 Mind Knobs'!$B$10)-('03 Mind Knobs'!$B$13*0.10)))</x:f>
        <x:v>0</x:v>
      </x:c>
      <x:c r="K80" t="n">
        <x:f>--(AND(J80=1,OR(E80=1,F80=1)))</x:f>
        <x:v>0</x:v>
      </x:c>
      <x:c r="L80" t="n">
        <x:f>--(MAX(SUMIFS('00 Compact View'!$H$6:$H$205,'00 Compact View'!$A$6:$A$205,A80,'00 Compact View'!$B$6:$B$205,"&gt;="&amp;B80-'03 Mind Knobs'!$B$16+1,'00 Compact View'!$B$6:$B$205,"&lt;="&amp;B80),SUMIFS('00 Compact View'!$I$6:$I$205,'00 Compact View'!$A$6:$A$205,A80,'00 Compact View'!$B$6:$B$205,"&gt;="&amp;B80-'03 Mind Knobs'!$B$16+1,'00 Compact View'!$B$6:$B$205,"&lt;="&amp;B80),SUMIFS('00 Compact View'!$J$6:$J$205,'00 Compact View'!$A$6:$A$205,A80,'00 Compact View'!$B$6:$B$205,"&gt;="&amp;B80-'03 Mind Knobs'!$B$16+1,'00 Compact View'!$B$6:$B$205,"&lt;="&amp;B80),SUMIFS('00 Compact View'!$K$6:$K$205,'00 Compact View'!$A$6:$A$205,A80,'00 Compact View'!$B$6:$B$205,"&gt;="&amp;B80-'03 Mind Knobs'!$B$16+1,'00 Compact View'!$B$6:$B$205,"&lt;="&amp;B80),SUMIFS('00 Compact View'!$L$6:$L$205,'00 Compact View'!$A$6:$A$205,A80,'00 Compact View'!$B$6:$B$205,"&gt;="&amp;B80-'03 Mind Knobs'!$B$16+1,'00 Compact View'!$B$6:$B$205,"&lt;="&amp;B80))&gt;=MAX(1,ROUNDUP('03 Mind Knobs'!$B$16*(1-'03 Mind Knobs'!$B$8),0)))</x:f>
        <x:v>0</x:v>
      </x:c>
      <x:c r="M80" t="n">
        <x:f>--(OR(I80=1,J80=1,K80=1,L80=1))</x:f>
        <x:v>0</x:v>
      </x:c>
    </x:row>
    <x:row r="81">
      <x:c r="A81" t="n">
        <x:f>'00 Compact View'!A81</x:f>
        <x:v>4</x:v>
      </x:c>
      <x:c r="B81" t="n">
        <x:f>'00 Compact View'!B81</x:f>
        <x:v>16</x:v>
      </x:c>
      <x:c r="C81" s="12" t="n">
        <x:f>SUM('00 Compact View'!H81:L81)/5</x:f>
        <x:v>0</x:v>
      </x:c>
      <x:c r="D81" s="12" t="n">
        <x:f>SUM('00 Compact View'!M81:Q81)/5</x:f>
        <x:v>0</x:v>
      </x:c>
      <x:c r="E81" s="12" t="n">
        <x:f>'00 Compact View'!R81</x:f>
        <x:v>0</x:v>
      </x:c>
      <x:c r="F81" s="12" t="n">
        <x:f>'00 Compact View'!T81</x:f>
        <x:v>0</x:v>
      </x:c>
      <x:c r="G81" s="12" t="n">
        <x:f>'04 Resource Body'!$B$10</x:f>
        <x:v>0</x:v>
      </x:c>
      <x:c r="H81" t="n">
        <x:f>--(M81=0)</x:f>
        <x:v>1</x:v>
      </x:c>
      <x:c r="I81" t="n">
        <x:f>--(MIN(1,C81+D81+(E81*'03 Mind Knobs'!$B$17)+(F81*'03 Mind Knobs'!$B$18)+('03 Mind Knobs'!$B$7*F81))&gt;=MAX(0.15,0.35+(G81*'03 Mind Knobs'!$B$10)-('03 Mind Knobs'!$B$13*0.15)))</x:f>
        <x:v>0</x:v>
      </x:c>
      <x:c r="J81" t="n">
        <x:f>--(MIN(1,C81+D81+(E81*'03 Mind Knobs'!$B$17)+(F81*'03 Mind Knobs'!$B$18)+('03 Mind Knobs'!$B$7*F81))&gt;=MIN(0.95,'03 Mind Knobs'!$B$19+(G81*'03 Mind Knobs'!$B$10)-('03 Mind Knobs'!$B$13*0.10)))</x:f>
        <x:v>0</x:v>
      </x:c>
      <x:c r="K81" t="n">
        <x:f>--(AND(J81=1,OR(E81=1,F81=1)))</x:f>
        <x:v>0</x:v>
      </x:c>
      <x:c r="L81" t="n">
        <x:f>--(MAX(SUMIFS('00 Compact View'!$H$6:$H$205,'00 Compact View'!$A$6:$A$205,A81,'00 Compact View'!$B$6:$B$205,"&gt;="&amp;B81-'03 Mind Knobs'!$B$16+1,'00 Compact View'!$B$6:$B$205,"&lt;="&amp;B81),SUMIFS('00 Compact View'!$I$6:$I$205,'00 Compact View'!$A$6:$A$205,A81,'00 Compact View'!$B$6:$B$205,"&gt;="&amp;B81-'03 Mind Knobs'!$B$16+1,'00 Compact View'!$B$6:$B$205,"&lt;="&amp;B81),SUMIFS('00 Compact View'!$J$6:$J$205,'00 Compact View'!$A$6:$A$205,A81,'00 Compact View'!$B$6:$B$205,"&gt;="&amp;B81-'03 Mind Knobs'!$B$16+1,'00 Compact View'!$B$6:$B$205,"&lt;="&amp;B81),SUMIFS('00 Compact View'!$K$6:$K$205,'00 Compact View'!$A$6:$A$205,A81,'00 Compact View'!$B$6:$B$205,"&gt;="&amp;B81-'03 Mind Knobs'!$B$16+1,'00 Compact View'!$B$6:$B$205,"&lt;="&amp;B81),SUMIFS('00 Compact View'!$L$6:$L$205,'00 Compact View'!$A$6:$A$205,A81,'00 Compact View'!$B$6:$B$205,"&gt;="&amp;B81-'03 Mind Knobs'!$B$16+1,'00 Compact View'!$B$6:$B$205,"&lt;="&amp;B81))&gt;=MAX(1,ROUNDUP('03 Mind Knobs'!$B$16*(1-'03 Mind Knobs'!$B$8),0)))</x:f>
        <x:v>0</x:v>
      </x:c>
      <x:c r="M81" t="n">
        <x:f>--(OR(I81=1,J81=1,K81=1,L81=1))</x:f>
        <x:v>0</x:v>
      </x:c>
    </x:row>
    <x:row r="82">
      <x:c r="A82" t="n">
        <x:f>'00 Compact View'!A82</x:f>
        <x:v>4</x:v>
      </x:c>
      <x:c r="B82" t="n">
        <x:f>'00 Compact View'!B82</x:f>
        <x:v>17</x:v>
      </x:c>
      <x:c r="C82" s="12" t="n">
        <x:f>SUM('00 Compact View'!H82:L82)/5</x:f>
        <x:v>0</x:v>
      </x:c>
      <x:c r="D82" s="12" t="n">
        <x:f>SUM('00 Compact View'!M82:Q82)/5</x:f>
        <x:v>0</x:v>
      </x:c>
      <x:c r="E82" s="12" t="n">
        <x:f>'00 Compact View'!R82</x:f>
        <x:v>0</x:v>
      </x:c>
      <x:c r="F82" s="12" t="n">
        <x:f>'00 Compact View'!T82</x:f>
        <x:v>0</x:v>
      </x:c>
      <x:c r="G82" s="12" t="n">
        <x:f>'04 Resource Body'!$B$10</x:f>
        <x:v>0</x:v>
      </x:c>
      <x:c r="H82" t="n">
        <x:f>--(M82=0)</x:f>
        <x:v>1</x:v>
      </x:c>
      <x:c r="I82" t="n">
        <x:f>--(MIN(1,C82+D82+(E82*'03 Mind Knobs'!$B$17)+(F82*'03 Mind Knobs'!$B$18)+('03 Mind Knobs'!$B$7*F82))&gt;=MAX(0.15,0.35+(G82*'03 Mind Knobs'!$B$10)-('03 Mind Knobs'!$B$13*0.15)))</x:f>
        <x:v>0</x:v>
      </x:c>
      <x:c r="J82" t="n">
        <x:f>--(MIN(1,C82+D82+(E82*'03 Mind Knobs'!$B$17)+(F82*'03 Mind Knobs'!$B$18)+('03 Mind Knobs'!$B$7*F82))&gt;=MIN(0.95,'03 Mind Knobs'!$B$19+(G82*'03 Mind Knobs'!$B$10)-('03 Mind Knobs'!$B$13*0.10)))</x:f>
        <x:v>0</x:v>
      </x:c>
      <x:c r="K82" t="n">
        <x:f>--(AND(J82=1,OR(E82=1,F82=1)))</x:f>
        <x:v>0</x:v>
      </x:c>
      <x:c r="L82" t="n">
        <x:f>--(MAX(SUMIFS('00 Compact View'!$H$6:$H$205,'00 Compact View'!$A$6:$A$205,A82,'00 Compact View'!$B$6:$B$205,"&gt;="&amp;B82-'03 Mind Knobs'!$B$16+1,'00 Compact View'!$B$6:$B$205,"&lt;="&amp;B82),SUMIFS('00 Compact View'!$I$6:$I$205,'00 Compact View'!$A$6:$A$205,A82,'00 Compact View'!$B$6:$B$205,"&gt;="&amp;B82-'03 Mind Knobs'!$B$16+1,'00 Compact View'!$B$6:$B$205,"&lt;="&amp;B82),SUMIFS('00 Compact View'!$J$6:$J$205,'00 Compact View'!$A$6:$A$205,A82,'00 Compact View'!$B$6:$B$205,"&gt;="&amp;B82-'03 Mind Knobs'!$B$16+1,'00 Compact View'!$B$6:$B$205,"&lt;="&amp;B82),SUMIFS('00 Compact View'!$K$6:$K$205,'00 Compact View'!$A$6:$A$205,A82,'00 Compact View'!$B$6:$B$205,"&gt;="&amp;B82-'03 Mind Knobs'!$B$16+1,'00 Compact View'!$B$6:$B$205,"&lt;="&amp;B82),SUMIFS('00 Compact View'!$L$6:$L$205,'00 Compact View'!$A$6:$A$205,A82,'00 Compact View'!$B$6:$B$205,"&gt;="&amp;B82-'03 Mind Knobs'!$B$16+1,'00 Compact View'!$B$6:$B$205,"&lt;="&amp;B82))&gt;=MAX(1,ROUNDUP('03 Mind Knobs'!$B$16*(1-'03 Mind Knobs'!$B$8),0)))</x:f>
        <x:v>0</x:v>
      </x:c>
      <x:c r="M82" t="n">
        <x:f>--(OR(I82=1,J82=1,K82=1,L82=1))</x:f>
        <x:v>0</x:v>
      </x:c>
    </x:row>
    <x:row r="83">
      <x:c r="A83" t="n">
        <x:f>'00 Compact View'!A83</x:f>
        <x:v>4</x:v>
      </x:c>
      <x:c r="B83" t="n">
        <x:f>'00 Compact View'!B83</x:f>
        <x:v>18</x:v>
      </x:c>
      <x:c r="C83" s="12" t="n">
        <x:f>SUM('00 Compact View'!H83:L83)/5</x:f>
        <x:v>0</x:v>
      </x:c>
      <x:c r="D83" s="12" t="n">
        <x:f>SUM('00 Compact View'!M83:Q83)/5</x:f>
        <x:v>0</x:v>
      </x:c>
      <x:c r="E83" s="12" t="n">
        <x:f>'00 Compact View'!R83</x:f>
        <x:v>0</x:v>
      </x:c>
      <x:c r="F83" s="12" t="n">
        <x:f>'00 Compact View'!T83</x:f>
        <x:v>0</x:v>
      </x:c>
      <x:c r="G83" s="12" t="n">
        <x:f>'04 Resource Body'!$B$10</x:f>
        <x:v>0</x:v>
      </x:c>
      <x:c r="H83" t="n">
        <x:f>--(M83=0)</x:f>
        <x:v>1</x:v>
      </x:c>
      <x:c r="I83" t="n">
        <x:f>--(MIN(1,C83+D83+(E83*'03 Mind Knobs'!$B$17)+(F83*'03 Mind Knobs'!$B$18)+('03 Mind Knobs'!$B$7*F83))&gt;=MAX(0.15,0.35+(G83*'03 Mind Knobs'!$B$10)-('03 Mind Knobs'!$B$13*0.15)))</x:f>
        <x:v>0</x:v>
      </x:c>
      <x:c r="J83" t="n">
        <x:f>--(MIN(1,C83+D83+(E83*'03 Mind Knobs'!$B$17)+(F83*'03 Mind Knobs'!$B$18)+('03 Mind Knobs'!$B$7*F83))&gt;=MIN(0.95,'03 Mind Knobs'!$B$19+(G83*'03 Mind Knobs'!$B$10)-('03 Mind Knobs'!$B$13*0.10)))</x:f>
        <x:v>0</x:v>
      </x:c>
      <x:c r="K83" t="n">
        <x:f>--(AND(J83=1,OR(E83=1,F83=1)))</x:f>
        <x:v>0</x:v>
      </x:c>
      <x:c r="L83" t="n">
        <x:f>--(MAX(SUMIFS('00 Compact View'!$H$6:$H$205,'00 Compact View'!$A$6:$A$205,A83,'00 Compact View'!$B$6:$B$205,"&gt;="&amp;B83-'03 Mind Knobs'!$B$16+1,'00 Compact View'!$B$6:$B$205,"&lt;="&amp;B83),SUMIFS('00 Compact View'!$I$6:$I$205,'00 Compact View'!$A$6:$A$205,A83,'00 Compact View'!$B$6:$B$205,"&gt;="&amp;B83-'03 Mind Knobs'!$B$16+1,'00 Compact View'!$B$6:$B$205,"&lt;="&amp;B83),SUMIFS('00 Compact View'!$J$6:$J$205,'00 Compact View'!$A$6:$A$205,A83,'00 Compact View'!$B$6:$B$205,"&gt;="&amp;B83-'03 Mind Knobs'!$B$16+1,'00 Compact View'!$B$6:$B$205,"&lt;="&amp;B83),SUMIFS('00 Compact View'!$K$6:$K$205,'00 Compact View'!$A$6:$A$205,A83,'00 Compact View'!$B$6:$B$205,"&gt;="&amp;B83-'03 Mind Knobs'!$B$16+1,'00 Compact View'!$B$6:$B$205,"&lt;="&amp;B83),SUMIFS('00 Compact View'!$L$6:$L$205,'00 Compact View'!$A$6:$A$205,A83,'00 Compact View'!$B$6:$B$205,"&gt;="&amp;B83-'03 Mind Knobs'!$B$16+1,'00 Compact View'!$B$6:$B$205,"&lt;="&amp;B83))&gt;=MAX(1,ROUNDUP('03 Mind Knobs'!$B$16*(1-'03 Mind Knobs'!$B$8),0)))</x:f>
        <x:v>0</x:v>
      </x:c>
      <x:c r="M83" t="n">
        <x:f>--(OR(I83=1,J83=1,K83=1,L83=1))</x:f>
        <x:v>0</x:v>
      </x:c>
    </x:row>
    <x:row r="84">
      <x:c r="A84" t="n">
        <x:f>'00 Compact View'!A84</x:f>
        <x:v>4</x:v>
      </x:c>
      <x:c r="B84" t="n">
        <x:f>'00 Compact View'!B84</x:f>
        <x:v>19</x:v>
      </x:c>
      <x:c r="C84" s="12" t="n">
        <x:f>SUM('00 Compact View'!H84:L84)/5</x:f>
        <x:v>0</x:v>
      </x:c>
      <x:c r="D84" s="12" t="n">
        <x:f>SUM('00 Compact View'!M84:Q84)/5</x:f>
        <x:v>0</x:v>
      </x:c>
      <x:c r="E84" s="12" t="n">
        <x:f>'00 Compact View'!R84</x:f>
        <x:v>0</x:v>
      </x:c>
      <x:c r="F84" s="12" t="n">
        <x:f>'00 Compact View'!T84</x:f>
        <x:v>0</x:v>
      </x:c>
      <x:c r="G84" s="12" t="n">
        <x:f>'04 Resource Body'!$B$10</x:f>
        <x:v>0</x:v>
      </x:c>
      <x:c r="H84" t="n">
        <x:f>--(M84=0)</x:f>
        <x:v>1</x:v>
      </x:c>
      <x:c r="I84" t="n">
        <x:f>--(MIN(1,C84+D84+(E84*'03 Mind Knobs'!$B$17)+(F84*'03 Mind Knobs'!$B$18)+('03 Mind Knobs'!$B$7*F84))&gt;=MAX(0.15,0.35+(G84*'03 Mind Knobs'!$B$10)-('03 Mind Knobs'!$B$13*0.15)))</x:f>
        <x:v>0</x:v>
      </x:c>
      <x:c r="J84" t="n">
        <x:f>--(MIN(1,C84+D84+(E84*'03 Mind Knobs'!$B$17)+(F84*'03 Mind Knobs'!$B$18)+('03 Mind Knobs'!$B$7*F84))&gt;=MIN(0.95,'03 Mind Knobs'!$B$19+(G84*'03 Mind Knobs'!$B$10)-('03 Mind Knobs'!$B$13*0.10)))</x:f>
        <x:v>0</x:v>
      </x:c>
      <x:c r="K84" t="n">
        <x:f>--(AND(J84=1,OR(E84=1,F84=1)))</x:f>
        <x:v>0</x:v>
      </x:c>
      <x:c r="L84" t="n">
        <x:f>--(MAX(SUMIFS('00 Compact View'!$H$6:$H$205,'00 Compact View'!$A$6:$A$205,A84,'00 Compact View'!$B$6:$B$205,"&gt;="&amp;B84-'03 Mind Knobs'!$B$16+1,'00 Compact View'!$B$6:$B$205,"&lt;="&amp;B84),SUMIFS('00 Compact View'!$I$6:$I$205,'00 Compact View'!$A$6:$A$205,A84,'00 Compact View'!$B$6:$B$205,"&gt;="&amp;B84-'03 Mind Knobs'!$B$16+1,'00 Compact View'!$B$6:$B$205,"&lt;="&amp;B84),SUMIFS('00 Compact View'!$J$6:$J$205,'00 Compact View'!$A$6:$A$205,A84,'00 Compact View'!$B$6:$B$205,"&gt;="&amp;B84-'03 Mind Knobs'!$B$16+1,'00 Compact View'!$B$6:$B$205,"&lt;="&amp;B84),SUMIFS('00 Compact View'!$K$6:$K$205,'00 Compact View'!$A$6:$A$205,A84,'00 Compact View'!$B$6:$B$205,"&gt;="&amp;B84-'03 Mind Knobs'!$B$16+1,'00 Compact View'!$B$6:$B$205,"&lt;="&amp;B84),SUMIFS('00 Compact View'!$L$6:$L$205,'00 Compact View'!$A$6:$A$205,A84,'00 Compact View'!$B$6:$B$205,"&gt;="&amp;B84-'03 Mind Knobs'!$B$16+1,'00 Compact View'!$B$6:$B$205,"&lt;="&amp;B84))&gt;=MAX(1,ROUNDUP('03 Mind Knobs'!$B$16*(1-'03 Mind Knobs'!$B$8),0)))</x:f>
        <x:v>0</x:v>
      </x:c>
      <x:c r="M84" t="n">
        <x:f>--(OR(I84=1,J84=1,K84=1,L84=1))</x:f>
        <x:v>0</x:v>
      </x:c>
    </x:row>
    <x:row r="85">
      <x:c r="A85" t="n">
        <x:f>'00 Compact View'!A85</x:f>
        <x:v>4</x:v>
      </x:c>
      <x:c r="B85" t="n">
        <x:f>'00 Compact View'!B85</x:f>
        <x:v>20</x:v>
      </x:c>
      <x:c r="C85" s="12" t="n">
        <x:f>SUM('00 Compact View'!H85:L85)/5</x:f>
        <x:v>0</x:v>
      </x:c>
      <x:c r="D85" s="12" t="n">
        <x:f>SUM('00 Compact View'!M85:Q85)/5</x:f>
        <x:v>0</x:v>
      </x:c>
      <x:c r="E85" s="12" t="n">
        <x:f>'00 Compact View'!R85</x:f>
        <x:v>0</x:v>
      </x:c>
      <x:c r="F85" s="12" t="n">
        <x:f>'00 Compact View'!T85</x:f>
        <x:v>0</x:v>
      </x:c>
      <x:c r="G85" s="12" t="n">
        <x:f>'04 Resource Body'!$B$10</x:f>
        <x:v>0</x:v>
      </x:c>
      <x:c r="H85" t="n">
        <x:f>--(M85=0)</x:f>
        <x:v>1</x:v>
      </x:c>
      <x:c r="I85" t="n">
        <x:f>--(MIN(1,C85+D85+(E85*'03 Mind Knobs'!$B$17)+(F85*'03 Mind Knobs'!$B$18)+('03 Mind Knobs'!$B$7*F85))&gt;=MAX(0.15,0.35+(G85*'03 Mind Knobs'!$B$10)-('03 Mind Knobs'!$B$13*0.15)))</x:f>
        <x:v>0</x:v>
      </x:c>
      <x:c r="J85" t="n">
        <x:f>--(MIN(1,C85+D85+(E85*'03 Mind Knobs'!$B$17)+(F85*'03 Mind Knobs'!$B$18)+('03 Mind Knobs'!$B$7*F85))&gt;=MIN(0.95,'03 Mind Knobs'!$B$19+(G85*'03 Mind Knobs'!$B$10)-('03 Mind Knobs'!$B$13*0.10)))</x:f>
        <x:v>0</x:v>
      </x:c>
      <x:c r="K85" t="n">
        <x:f>--(AND(J85=1,OR(E85=1,F85=1)))</x:f>
        <x:v>0</x:v>
      </x:c>
      <x:c r="L85" t="n">
        <x:f>--(MAX(SUMIFS('00 Compact View'!$H$6:$H$205,'00 Compact View'!$A$6:$A$205,A85,'00 Compact View'!$B$6:$B$205,"&gt;="&amp;B85-'03 Mind Knobs'!$B$16+1,'00 Compact View'!$B$6:$B$205,"&lt;="&amp;B85),SUMIFS('00 Compact View'!$I$6:$I$205,'00 Compact View'!$A$6:$A$205,A85,'00 Compact View'!$B$6:$B$205,"&gt;="&amp;B85-'03 Mind Knobs'!$B$16+1,'00 Compact View'!$B$6:$B$205,"&lt;="&amp;B85),SUMIFS('00 Compact View'!$J$6:$J$205,'00 Compact View'!$A$6:$A$205,A85,'00 Compact View'!$B$6:$B$205,"&gt;="&amp;B85-'03 Mind Knobs'!$B$16+1,'00 Compact View'!$B$6:$B$205,"&lt;="&amp;B85),SUMIFS('00 Compact View'!$K$6:$K$205,'00 Compact View'!$A$6:$A$205,A85,'00 Compact View'!$B$6:$B$205,"&gt;="&amp;B85-'03 Mind Knobs'!$B$16+1,'00 Compact View'!$B$6:$B$205,"&lt;="&amp;B85),SUMIFS('00 Compact View'!$L$6:$L$205,'00 Compact View'!$A$6:$A$205,A85,'00 Compact View'!$B$6:$B$205,"&gt;="&amp;B85-'03 Mind Knobs'!$B$16+1,'00 Compact View'!$B$6:$B$205,"&lt;="&amp;B85))&gt;=MAX(1,ROUNDUP('03 Mind Knobs'!$B$16*(1-'03 Mind Knobs'!$B$8),0)))</x:f>
        <x:v>0</x:v>
      </x:c>
      <x:c r="M85" t="n">
        <x:f>--(OR(I85=1,J85=1,K85=1,L85=1))</x:f>
        <x:v>0</x:v>
      </x:c>
    </x:row>
    <x:row r="86">
      <x:c r="A86" t="n">
        <x:f>'00 Compact View'!A86</x:f>
        <x:v>5</x:v>
      </x:c>
      <x:c r="B86" t="n">
        <x:f>'00 Compact View'!B86</x:f>
        <x:v>1</x:v>
      </x:c>
      <x:c r="C86" s="12" t="n">
        <x:f>SUM('00 Compact View'!H86:L86)/5</x:f>
        <x:v>0</x:v>
      </x:c>
      <x:c r="D86" s="12" t="n">
        <x:f>SUM('00 Compact View'!M86:Q86)/5</x:f>
        <x:v>0</x:v>
      </x:c>
      <x:c r="E86" s="12" t="n">
        <x:f>'00 Compact View'!R86</x:f>
        <x:v>0</x:v>
      </x:c>
      <x:c r="F86" s="12" t="n">
        <x:f>'00 Compact View'!T86</x:f>
        <x:v>0</x:v>
      </x:c>
      <x:c r="G86" s="12" t="n">
        <x:f>'04 Resource Body'!$B$10</x:f>
        <x:v>0</x:v>
      </x:c>
      <x:c r="H86" t="n">
        <x:f>--(M86=0)</x:f>
        <x:v>1</x:v>
      </x:c>
      <x:c r="I86" t="n">
        <x:f>--(MIN(1,C86+D86+(E86*'03 Mind Knobs'!$B$17)+(F86*'03 Mind Knobs'!$B$18)+('03 Mind Knobs'!$B$7*F86))&gt;=MAX(0.15,0.35+(G86*'03 Mind Knobs'!$B$10)-('03 Mind Knobs'!$B$13*0.15)))</x:f>
        <x:v>0</x:v>
      </x:c>
      <x:c r="J86" t="n">
        <x:f>--(MIN(1,C86+D86+(E86*'03 Mind Knobs'!$B$17)+(F86*'03 Mind Knobs'!$B$18)+('03 Mind Knobs'!$B$7*F86))&gt;=MIN(0.95,'03 Mind Knobs'!$B$19+(G86*'03 Mind Knobs'!$B$10)-('03 Mind Knobs'!$B$13*0.10)))</x:f>
        <x:v>0</x:v>
      </x:c>
      <x:c r="K86" t="n">
        <x:f>--(AND(J86=1,OR(E86=1,F86=1)))</x:f>
        <x:v>0</x:v>
      </x:c>
      <x:c r="L86" t="n">
        <x:f>--(MAX(SUMIFS('00 Compact View'!$H$6:$H$205,'00 Compact View'!$A$6:$A$205,A86,'00 Compact View'!$B$6:$B$205,"&gt;="&amp;B86-'03 Mind Knobs'!$B$16+1,'00 Compact View'!$B$6:$B$205,"&lt;="&amp;B86),SUMIFS('00 Compact View'!$I$6:$I$205,'00 Compact View'!$A$6:$A$205,A86,'00 Compact View'!$B$6:$B$205,"&gt;="&amp;B86-'03 Mind Knobs'!$B$16+1,'00 Compact View'!$B$6:$B$205,"&lt;="&amp;B86),SUMIFS('00 Compact View'!$J$6:$J$205,'00 Compact View'!$A$6:$A$205,A86,'00 Compact View'!$B$6:$B$205,"&gt;="&amp;B86-'03 Mind Knobs'!$B$16+1,'00 Compact View'!$B$6:$B$205,"&lt;="&amp;B86),SUMIFS('00 Compact View'!$K$6:$K$205,'00 Compact View'!$A$6:$A$205,A86,'00 Compact View'!$B$6:$B$205,"&gt;="&amp;B86-'03 Mind Knobs'!$B$16+1,'00 Compact View'!$B$6:$B$205,"&lt;="&amp;B86),SUMIFS('00 Compact View'!$L$6:$L$205,'00 Compact View'!$A$6:$A$205,A86,'00 Compact View'!$B$6:$B$205,"&gt;="&amp;B86-'03 Mind Knobs'!$B$16+1,'00 Compact View'!$B$6:$B$205,"&lt;="&amp;B86))&gt;=MAX(1,ROUNDUP('03 Mind Knobs'!$B$16*(1-'03 Mind Knobs'!$B$8),0)))</x:f>
        <x:v>0</x:v>
      </x:c>
      <x:c r="M86" t="n">
        <x:f>--(OR(I86=1,J86=1,K86=1,L86=1))</x:f>
        <x:v>0</x:v>
      </x:c>
    </x:row>
    <x:row r="87">
      <x:c r="A87" t="n">
        <x:f>'00 Compact View'!A87</x:f>
        <x:v>5</x:v>
      </x:c>
      <x:c r="B87" t="n">
        <x:f>'00 Compact View'!B87</x:f>
        <x:v>2</x:v>
      </x:c>
      <x:c r="C87" s="12" t="n">
        <x:f>SUM('00 Compact View'!H87:L87)/5</x:f>
        <x:v>0</x:v>
      </x:c>
      <x:c r="D87" s="12" t="n">
        <x:f>SUM('00 Compact View'!M87:Q87)/5</x:f>
        <x:v>0</x:v>
      </x:c>
      <x:c r="E87" s="12" t="n">
        <x:f>'00 Compact View'!R87</x:f>
        <x:v>0</x:v>
      </x:c>
      <x:c r="F87" s="12" t="n">
        <x:f>'00 Compact View'!T87</x:f>
        <x:v>0</x:v>
      </x:c>
      <x:c r="G87" s="12" t="n">
        <x:f>'04 Resource Body'!$B$10</x:f>
        <x:v>0</x:v>
      </x:c>
      <x:c r="H87" t="n">
        <x:f>--(M87=0)</x:f>
        <x:v>1</x:v>
      </x:c>
      <x:c r="I87" t="n">
        <x:f>--(MIN(1,C87+D87+(E87*'03 Mind Knobs'!$B$17)+(F87*'03 Mind Knobs'!$B$18)+('03 Mind Knobs'!$B$7*F87))&gt;=MAX(0.15,0.35+(G87*'03 Mind Knobs'!$B$10)-('03 Mind Knobs'!$B$13*0.15)))</x:f>
        <x:v>0</x:v>
      </x:c>
      <x:c r="J87" t="n">
        <x:f>--(MIN(1,C87+D87+(E87*'03 Mind Knobs'!$B$17)+(F87*'03 Mind Knobs'!$B$18)+('03 Mind Knobs'!$B$7*F87))&gt;=MIN(0.95,'03 Mind Knobs'!$B$19+(G87*'03 Mind Knobs'!$B$10)-('03 Mind Knobs'!$B$13*0.10)))</x:f>
        <x:v>0</x:v>
      </x:c>
      <x:c r="K87" t="n">
        <x:f>--(AND(J87=1,OR(E87=1,F87=1)))</x:f>
        <x:v>0</x:v>
      </x:c>
      <x:c r="L87" t="n">
        <x:f>--(MAX(SUMIFS('00 Compact View'!$H$6:$H$205,'00 Compact View'!$A$6:$A$205,A87,'00 Compact View'!$B$6:$B$205,"&gt;="&amp;B87-'03 Mind Knobs'!$B$16+1,'00 Compact View'!$B$6:$B$205,"&lt;="&amp;B87),SUMIFS('00 Compact View'!$I$6:$I$205,'00 Compact View'!$A$6:$A$205,A87,'00 Compact View'!$B$6:$B$205,"&gt;="&amp;B87-'03 Mind Knobs'!$B$16+1,'00 Compact View'!$B$6:$B$205,"&lt;="&amp;B87),SUMIFS('00 Compact View'!$J$6:$J$205,'00 Compact View'!$A$6:$A$205,A87,'00 Compact View'!$B$6:$B$205,"&gt;="&amp;B87-'03 Mind Knobs'!$B$16+1,'00 Compact View'!$B$6:$B$205,"&lt;="&amp;B87),SUMIFS('00 Compact View'!$K$6:$K$205,'00 Compact View'!$A$6:$A$205,A87,'00 Compact View'!$B$6:$B$205,"&gt;="&amp;B87-'03 Mind Knobs'!$B$16+1,'00 Compact View'!$B$6:$B$205,"&lt;="&amp;B87),SUMIFS('00 Compact View'!$L$6:$L$205,'00 Compact View'!$A$6:$A$205,A87,'00 Compact View'!$B$6:$B$205,"&gt;="&amp;B87-'03 Mind Knobs'!$B$16+1,'00 Compact View'!$B$6:$B$205,"&lt;="&amp;B87))&gt;=MAX(1,ROUNDUP('03 Mind Knobs'!$B$16*(1-'03 Mind Knobs'!$B$8),0)))</x:f>
        <x:v>0</x:v>
      </x:c>
      <x:c r="M87" t="n">
        <x:f>--(OR(I87=1,J87=1,K87=1,L87=1))</x:f>
        <x:v>0</x:v>
      </x:c>
    </x:row>
    <x:row r="88">
      <x:c r="A88" t="n">
        <x:f>'00 Compact View'!A88</x:f>
        <x:v>5</x:v>
      </x:c>
      <x:c r="B88" t="n">
        <x:f>'00 Compact View'!B88</x:f>
        <x:v>3</x:v>
      </x:c>
      <x:c r="C88" s="12" t="n">
        <x:f>SUM('00 Compact View'!H88:L88)/5</x:f>
        <x:v>0</x:v>
      </x:c>
      <x:c r="D88" s="12" t="n">
        <x:f>SUM('00 Compact View'!M88:Q88)/5</x:f>
        <x:v>0</x:v>
      </x:c>
      <x:c r="E88" s="12" t="n">
        <x:f>'00 Compact View'!R88</x:f>
        <x:v>0</x:v>
      </x:c>
      <x:c r="F88" s="12" t="n">
        <x:f>'00 Compact View'!T88</x:f>
        <x:v>0</x:v>
      </x:c>
      <x:c r="G88" s="12" t="n">
        <x:f>'04 Resource Body'!$B$10</x:f>
        <x:v>0</x:v>
      </x:c>
      <x:c r="H88" t="n">
        <x:f>--(M88=0)</x:f>
        <x:v>1</x:v>
      </x:c>
      <x:c r="I88" t="n">
        <x:f>--(MIN(1,C88+D88+(E88*'03 Mind Knobs'!$B$17)+(F88*'03 Mind Knobs'!$B$18)+('03 Mind Knobs'!$B$7*F88))&gt;=MAX(0.15,0.35+(G88*'03 Mind Knobs'!$B$10)-('03 Mind Knobs'!$B$13*0.15)))</x:f>
        <x:v>0</x:v>
      </x:c>
      <x:c r="J88" t="n">
        <x:f>--(MIN(1,C88+D88+(E88*'03 Mind Knobs'!$B$17)+(F88*'03 Mind Knobs'!$B$18)+('03 Mind Knobs'!$B$7*F88))&gt;=MIN(0.95,'03 Mind Knobs'!$B$19+(G88*'03 Mind Knobs'!$B$10)-('03 Mind Knobs'!$B$13*0.10)))</x:f>
        <x:v>0</x:v>
      </x:c>
      <x:c r="K88" t="n">
        <x:f>--(AND(J88=1,OR(E88=1,F88=1)))</x:f>
        <x:v>0</x:v>
      </x:c>
      <x:c r="L88" t="n">
        <x:f>--(MAX(SUMIFS('00 Compact View'!$H$6:$H$205,'00 Compact View'!$A$6:$A$205,A88,'00 Compact View'!$B$6:$B$205,"&gt;="&amp;B88-'03 Mind Knobs'!$B$16+1,'00 Compact View'!$B$6:$B$205,"&lt;="&amp;B88),SUMIFS('00 Compact View'!$I$6:$I$205,'00 Compact View'!$A$6:$A$205,A88,'00 Compact View'!$B$6:$B$205,"&gt;="&amp;B88-'03 Mind Knobs'!$B$16+1,'00 Compact View'!$B$6:$B$205,"&lt;="&amp;B88),SUMIFS('00 Compact View'!$J$6:$J$205,'00 Compact View'!$A$6:$A$205,A88,'00 Compact View'!$B$6:$B$205,"&gt;="&amp;B88-'03 Mind Knobs'!$B$16+1,'00 Compact View'!$B$6:$B$205,"&lt;="&amp;B88),SUMIFS('00 Compact View'!$K$6:$K$205,'00 Compact View'!$A$6:$A$205,A88,'00 Compact View'!$B$6:$B$205,"&gt;="&amp;B88-'03 Mind Knobs'!$B$16+1,'00 Compact View'!$B$6:$B$205,"&lt;="&amp;B88),SUMIFS('00 Compact View'!$L$6:$L$205,'00 Compact View'!$A$6:$A$205,A88,'00 Compact View'!$B$6:$B$205,"&gt;="&amp;B88-'03 Mind Knobs'!$B$16+1,'00 Compact View'!$B$6:$B$205,"&lt;="&amp;B88))&gt;=MAX(1,ROUNDUP('03 Mind Knobs'!$B$16*(1-'03 Mind Knobs'!$B$8),0)))</x:f>
        <x:v>0</x:v>
      </x:c>
      <x:c r="M88" t="n">
        <x:f>--(OR(I88=1,J88=1,K88=1,L88=1))</x:f>
        <x:v>0</x:v>
      </x:c>
    </x:row>
    <x:row r="89">
      <x:c r="A89" t="n">
        <x:f>'00 Compact View'!A89</x:f>
        <x:v>5</x:v>
      </x:c>
      <x:c r="B89" t="n">
        <x:f>'00 Compact View'!B89</x:f>
        <x:v>4</x:v>
      </x:c>
      <x:c r="C89" s="12" t="n">
        <x:f>SUM('00 Compact View'!H89:L89)/5</x:f>
        <x:v>0</x:v>
      </x:c>
      <x:c r="D89" s="12" t="n">
        <x:f>SUM('00 Compact View'!M89:Q89)/5</x:f>
        <x:v>0</x:v>
      </x:c>
      <x:c r="E89" s="12" t="n">
        <x:f>'00 Compact View'!R89</x:f>
        <x:v>0</x:v>
      </x:c>
      <x:c r="F89" s="12" t="n">
        <x:f>'00 Compact View'!T89</x:f>
        <x:v>0</x:v>
      </x:c>
      <x:c r="G89" s="12" t="n">
        <x:f>'04 Resource Body'!$B$10</x:f>
        <x:v>0</x:v>
      </x:c>
      <x:c r="H89" t="n">
        <x:f>--(M89=0)</x:f>
        <x:v>1</x:v>
      </x:c>
      <x:c r="I89" t="n">
        <x:f>--(MIN(1,C89+D89+(E89*'03 Mind Knobs'!$B$17)+(F89*'03 Mind Knobs'!$B$18)+('03 Mind Knobs'!$B$7*F89))&gt;=MAX(0.15,0.35+(G89*'03 Mind Knobs'!$B$10)-('03 Mind Knobs'!$B$13*0.15)))</x:f>
        <x:v>0</x:v>
      </x:c>
      <x:c r="J89" t="n">
        <x:f>--(MIN(1,C89+D89+(E89*'03 Mind Knobs'!$B$17)+(F89*'03 Mind Knobs'!$B$18)+('03 Mind Knobs'!$B$7*F89))&gt;=MIN(0.95,'03 Mind Knobs'!$B$19+(G89*'03 Mind Knobs'!$B$10)-('03 Mind Knobs'!$B$13*0.10)))</x:f>
        <x:v>0</x:v>
      </x:c>
      <x:c r="K89" t="n">
        <x:f>--(AND(J89=1,OR(E89=1,F89=1)))</x:f>
        <x:v>0</x:v>
      </x:c>
      <x:c r="L89" t="n">
        <x:f>--(MAX(SUMIFS('00 Compact View'!$H$6:$H$205,'00 Compact View'!$A$6:$A$205,A89,'00 Compact View'!$B$6:$B$205,"&gt;="&amp;B89-'03 Mind Knobs'!$B$16+1,'00 Compact View'!$B$6:$B$205,"&lt;="&amp;B89),SUMIFS('00 Compact View'!$I$6:$I$205,'00 Compact View'!$A$6:$A$205,A89,'00 Compact View'!$B$6:$B$205,"&gt;="&amp;B89-'03 Mind Knobs'!$B$16+1,'00 Compact View'!$B$6:$B$205,"&lt;="&amp;B89),SUMIFS('00 Compact View'!$J$6:$J$205,'00 Compact View'!$A$6:$A$205,A89,'00 Compact View'!$B$6:$B$205,"&gt;="&amp;B89-'03 Mind Knobs'!$B$16+1,'00 Compact View'!$B$6:$B$205,"&lt;="&amp;B89),SUMIFS('00 Compact View'!$K$6:$K$205,'00 Compact View'!$A$6:$A$205,A89,'00 Compact View'!$B$6:$B$205,"&gt;="&amp;B89-'03 Mind Knobs'!$B$16+1,'00 Compact View'!$B$6:$B$205,"&lt;="&amp;B89),SUMIFS('00 Compact View'!$L$6:$L$205,'00 Compact View'!$A$6:$A$205,A89,'00 Compact View'!$B$6:$B$205,"&gt;="&amp;B89-'03 Mind Knobs'!$B$16+1,'00 Compact View'!$B$6:$B$205,"&lt;="&amp;B89))&gt;=MAX(1,ROUNDUP('03 Mind Knobs'!$B$16*(1-'03 Mind Knobs'!$B$8),0)))</x:f>
        <x:v>0</x:v>
      </x:c>
      <x:c r="M89" t="n">
        <x:f>--(OR(I89=1,J89=1,K89=1,L89=1))</x:f>
        <x:v>0</x:v>
      </x:c>
    </x:row>
    <x:row r="90">
      <x:c r="A90" t="n">
        <x:f>'00 Compact View'!A90</x:f>
        <x:v>5</x:v>
      </x:c>
      <x:c r="B90" t="n">
        <x:f>'00 Compact View'!B90</x:f>
        <x:v>5</x:v>
      </x:c>
      <x:c r="C90" s="12" t="n">
        <x:f>SUM('00 Compact View'!H90:L90)/5</x:f>
        <x:v>0</x:v>
      </x:c>
      <x:c r="D90" s="12" t="n">
        <x:f>SUM('00 Compact View'!M90:Q90)/5</x:f>
        <x:v>0</x:v>
      </x:c>
      <x:c r="E90" s="12" t="n">
        <x:f>'00 Compact View'!R90</x:f>
        <x:v>0</x:v>
      </x:c>
      <x:c r="F90" s="12" t="n">
        <x:f>'00 Compact View'!T90</x:f>
        <x:v>0</x:v>
      </x:c>
      <x:c r="G90" s="12" t="n">
        <x:f>'04 Resource Body'!$B$10</x:f>
        <x:v>0</x:v>
      </x:c>
      <x:c r="H90" t="n">
        <x:f>--(M90=0)</x:f>
        <x:v>1</x:v>
      </x:c>
      <x:c r="I90" t="n">
        <x:f>--(MIN(1,C90+D90+(E90*'03 Mind Knobs'!$B$17)+(F90*'03 Mind Knobs'!$B$18)+('03 Mind Knobs'!$B$7*F90))&gt;=MAX(0.15,0.35+(G90*'03 Mind Knobs'!$B$10)-('03 Mind Knobs'!$B$13*0.15)))</x:f>
        <x:v>0</x:v>
      </x:c>
      <x:c r="J90" t="n">
        <x:f>--(MIN(1,C90+D90+(E90*'03 Mind Knobs'!$B$17)+(F90*'03 Mind Knobs'!$B$18)+('03 Mind Knobs'!$B$7*F90))&gt;=MIN(0.95,'03 Mind Knobs'!$B$19+(G90*'03 Mind Knobs'!$B$10)-('03 Mind Knobs'!$B$13*0.10)))</x:f>
        <x:v>0</x:v>
      </x:c>
      <x:c r="K90" t="n">
        <x:f>--(AND(J90=1,OR(E90=1,F90=1)))</x:f>
        <x:v>0</x:v>
      </x:c>
      <x:c r="L90" t="n">
        <x:f>--(MAX(SUMIFS('00 Compact View'!$H$6:$H$205,'00 Compact View'!$A$6:$A$205,A90,'00 Compact View'!$B$6:$B$205,"&gt;="&amp;B90-'03 Mind Knobs'!$B$16+1,'00 Compact View'!$B$6:$B$205,"&lt;="&amp;B90),SUMIFS('00 Compact View'!$I$6:$I$205,'00 Compact View'!$A$6:$A$205,A90,'00 Compact View'!$B$6:$B$205,"&gt;="&amp;B90-'03 Mind Knobs'!$B$16+1,'00 Compact View'!$B$6:$B$205,"&lt;="&amp;B90),SUMIFS('00 Compact View'!$J$6:$J$205,'00 Compact View'!$A$6:$A$205,A90,'00 Compact View'!$B$6:$B$205,"&gt;="&amp;B90-'03 Mind Knobs'!$B$16+1,'00 Compact View'!$B$6:$B$205,"&lt;="&amp;B90),SUMIFS('00 Compact View'!$K$6:$K$205,'00 Compact View'!$A$6:$A$205,A90,'00 Compact View'!$B$6:$B$205,"&gt;="&amp;B90-'03 Mind Knobs'!$B$16+1,'00 Compact View'!$B$6:$B$205,"&lt;="&amp;B90),SUMIFS('00 Compact View'!$L$6:$L$205,'00 Compact View'!$A$6:$A$205,A90,'00 Compact View'!$B$6:$B$205,"&gt;="&amp;B90-'03 Mind Knobs'!$B$16+1,'00 Compact View'!$B$6:$B$205,"&lt;="&amp;B90))&gt;=MAX(1,ROUNDUP('03 Mind Knobs'!$B$16*(1-'03 Mind Knobs'!$B$8),0)))</x:f>
        <x:v>0</x:v>
      </x:c>
      <x:c r="M90" t="n">
        <x:f>--(OR(I90=1,J90=1,K90=1,L90=1))</x:f>
        <x:v>0</x:v>
      </x:c>
    </x:row>
    <x:row r="91">
      <x:c r="A91" t="n">
        <x:f>'00 Compact View'!A91</x:f>
        <x:v>5</x:v>
      </x:c>
      <x:c r="B91" t="n">
        <x:f>'00 Compact View'!B91</x:f>
        <x:v>6</x:v>
      </x:c>
      <x:c r="C91" s="12" t="n">
        <x:f>SUM('00 Compact View'!H91:L91)/5</x:f>
        <x:v>0</x:v>
      </x:c>
      <x:c r="D91" s="12" t="n">
        <x:f>SUM('00 Compact View'!M91:Q91)/5</x:f>
        <x:v>0</x:v>
      </x:c>
      <x:c r="E91" s="12" t="n">
        <x:f>'00 Compact View'!R91</x:f>
        <x:v>0</x:v>
      </x:c>
      <x:c r="F91" s="12" t="n">
        <x:f>'00 Compact View'!T91</x:f>
        <x:v>0</x:v>
      </x:c>
      <x:c r="G91" s="12" t="n">
        <x:f>'04 Resource Body'!$B$10</x:f>
        <x:v>0</x:v>
      </x:c>
      <x:c r="H91" t="n">
        <x:f>--(M91=0)</x:f>
        <x:v>1</x:v>
      </x:c>
      <x:c r="I91" t="n">
        <x:f>--(MIN(1,C91+D91+(E91*'03 Mind Knobs'!$B$17)+(F91*'03 Mind Knobs'!$B$18)+('03 Mind Knobs'!$B$7*F91))&gt;=MAX(0.15,0.35+(G91*'03 Mind Knobs'!$B$10)-('03 Mind Knobs'!$B$13*0.15)))</x:f>
        <x:v>0</x:v>
      </x:c>
      <x:c r="J91" t="n">
        <x:f>--(MIN(1,C91+D91+(E91*'03 Mind Knobs'!$B$17)+(F91*'03 Mind Knobs'!$B$18)+('03 Mind Knobs'!$B$7*F91))&gt;=MIN(0.95,'03 Mind Knobs'!$B$19+(G91*'03 Mind Knobs'!$B$10)-('03 Mind Knobs'!$B$13*0.10)))</x:f>
        <x:v>0</x:v>
      </x:c>
      <x:c r="K91" t="n">
        <x:f>--(AND(J91=1,OR(E91=1,F91=1)))</x:f>
        <x:v>0</x:v>
      </x:c>
      <x:c r="L91" t="n">
        <x:f>--(MAX(SUMIFS('00 Compact View'!$H$6:$H$205,'00 Compact View'!$A$6:$A$205,A91,'00 Compact View'!$B$6:$B$205,"&gt;="&amp;B91-'03 Mind Knobs'!$B$16+1,'00 Compact View'!$B$6:$B$205,"&lt;="&amp;B91),SUMIFS('00 Compact View'!$I$6:$I$205,'00 Compact View'!$A$6:$A$205,A91,'00 Compact View'!$B$6:$B$205,"&gt;="&amp;B91-'03 Mind Knobs'!$B$16+1,'00 Compact View'!$B$6:$B$205,"&lt;="&amp;B91),SUMIFS('00 Compact View'!$J$6:$J$205,'00 Compact View'!$A$6:$A$205,A91,'00 Compact View'!$B$6:$B$205,"&gt;="&amp;B91-'03 Mind Knobs'!$B$16+1,'00 Compact View'!$B$6:$B$205,"&lt;="&amp;B91),SUMIFS('00 Compact View'!$K$6:$K$205,'00 Compact View'!$A$6:$A$205,A91,'00 Compact View'!$B$6:$B$205,"&gt;="&amp;B91-'03 Mind Knobs'!$B$16+1,'00 Compact View'!$B$6:$B$205,"&lt;="&amp;B91),SUMIFS('00 Compact View'!$L$6:$L$205,'00 Compact View'!$A$6:$A$205,A91,'00 Compact View'!$B$6:$B$205,"&gt;="&amp;B91-'03 Mind Knobs'!$B$16+1,'00 Compact View'!$B$6:$B$205,"&lt;="&amp;B91))&gt;=MAX(1,ROUNDUP('03 Mind Knobs'!$B$16*(1-'03 Mind Knobs'!$B$8),0)))</x:f>
        <x:v>0</x:v>
      </x:c>
      <x:c r="M91" t="n">
        <x:f>--(OR(I91=1,J91=1,K91=1,L91=1))</x:f>
        <x:v>0</x:v>
      </x:c>
    </x:row>
    <x:row r="92">
      <x:c r="A92" t="n">
        <x:f>'00 Compact View'!A92</x:f>
        <x:v>5</x:v>
      </x:c>
      <x:c r="B92" t="n">
        <x:f>'00 Compact View'!B92</x:f>
        <x:v>7</x:v>
      </x:c>
      <x:c r="C92" s="12" t="n">
        <x:f>SUM('00 Compact View'!H92:L92)/5</x:f>
        <x:v>0</x:v>
      </x:c>
      <x:c r="D92" s="12" t="n">
        <x:f>SUM('00 Compact View'!M92:Q92)/5</x:f>
        <x:v>0</x:v>
      </x:c>
      <x:c r="E92" s="12" t="n">
        <x:f>'00 Compact View'!R92</x:f>
        <x:v>0</x:v>
      </x:c>
      <x:c r="F92" s="12" t="n">
        <x:f>'00 Compact View'!T92</x:f>
        <x:v>0</x:v>
      </x:c>
      <x:c r="G92" s="12" t="n">
        <x:f>'04 Resource Body'!$B$10</x:f>
        <x:v>0</x:v>
      </x:c>
      <x:c r="H92" t="n">
        <x:f>--(M92=0)</x:f>
        <x:v>1</x:v>
      </x:c>
      <x:c r="I92" t="n">
        <x:f>--(MIN(1,C92+D92+(E92*'03 Mind Knobs'!$B$17)+(F92*'03 Mind Knobs'!$B$18)+('03 Mind Knobs'!$B$7*F92))&gt;=MAX(0.15,0.35+(G92*'03 Mind Knobs'!$B$10)-('03 Mind Knobs'!$B$13*0.15)))</x:f>
        <x:v>0</x:v>
      </x:c>
      <x:c r="J92" t="n">
        <x:f>--(MIN(1,C92+D92+(E92*'03 Mind Knobs'!$B$17)+(F92*'03 Mind Knobs'!$B$18)+('03 Mind Knobs'!$B$7*F92))&gt;=MIN(0.95,'03 Mind Knobs'!$B$19+(G92*'03 Mind Knobs'!$B$10)-('03 Mind Knobs'!$B$13*0.10)))</x:f>
        <x:v>0</x:v>
      </x:c>
      <x:c r="K92" t="n">
        <x:f>--(AND(J92=1,OR(E92=1,F92=1)))</x:f>
        <x:v>0</x:v>
      </x:c>
      <x:c r="L92" t="n">
        <x:f>--(MAX(SUMIFS('00 Compact View'!$H$6:$H$205,'00 Compact View'!$A$6:$A$205,A92,'00 Compact View'!$B$6:$B$205,"&gt;="&amp;B92-'03 Mind Knobs'!$B$16+1,'00 Compact View'!$B$6:$B$205,"&lt;="&amp;B92),SUMIFS('00 Compact View'!$I$6:$I$205,'00 Compact View'!$A$6:$A$205,A92,'00 Compact View'!$B$6:$B$205,"&gt;="&amp;B92-'03 Mind Knobs'!$B$16+1,'00 Compact View'!$B$6:$B$205,"&lt;="&amp;B92),SUMIFS('00 Compact View'!$J$6:$J$205,'00 Compact View'!$A$6:$A$205,A92,'00 Compact View'!$B$6:$B$205,"&gt;="&amp;B92-'03 Mind Knobs'!$B$16+1,'00 Compact View'!$B$6:$B$205,"&lt;="&amp;B92),SUMIFS('00 Compact View'!$K$6:$K$205,'00 Compact View'!$A$6:$A$205,A92,'00 Compact View'!$B$6:$B$205,"&gt;="&amp;B92-'03 Mind Knobs'!$B$16+1,'00 Compact View'!$B$6:$B$205,"&lt;="&amp;B92),SUMIFS('00 Compact View'!$L$6:$L$205,'00 Compact View'!$A$6:$A$205,A92,'00 Compact View'!$B$6:$B$205,"&gt;="&amp;B92-'03 Mind Knobs'!$B$16+1,'00 Compact View'!$B$6:$B$205,"&lt;="&amp;B92))&gt;=MAX(1,ROUNDUP('03 Mind Knobs'!$B$16*(1-'03 Mind Knobs'!$B$8),0)))</x:f>
        <x:v>0</x:v>
      </x:c>
      <x:c r="M92" t="n">
        <x:f>--(OR(I92=1,J92=1,K92=1,L92=1))</x:f>
        <x:v>0</x:v>
      </x:c>
    </x:row>
    <x:row r="93">
      <x:c r="A93" t="n">
        <x:f>'00 Compact View'!A93</x:f>
        <x:v>5</x:v>
      </x:c>
      <x:c r="B93" t="n">
        <x:f>'00 Compact View'!B93</x:f>
        <x:v>8</x:v>
      </x:c>
      <x:c r="C93" s="12" t="n">
        <x:f>SUM('00 Compact View'!H93:L93)/5</x:f>
        <x:v>0</x:v>
      </x:c>
      <x:c r="D93" s="12" t="n">
        <x:f>SUM('00 Compact View'!M93:Q93)/5</x:f>
        <x:v>0</x:v>
      </x:c>
      <x:c r="E93" s="12" t="n">
        <x:f>'00 Compact View'!R93</x:f>
        <x:v>0</x:v>
      </x:c>
      <x:c r="F93" s="12" t="n">
        <x:f>'00 Compact View'!T93</x:f>
        <x:v>0</x:v>
      </x:c>
      <x:c r="G93" s="12" t="n">
        <x:f>'04 Resource Body'!$B$10</x:f>
        <x:v>0</x:v>
      </x:c>
      <x:c r="H93" t="n">
        <x:f>--(M93=0)</x:f>
        <x:v>1</x:v>
      </x:c>
      <x:c r="I93" t="n">
        <x:f>--(MIN(1,C93+D93+(E93*'03 Mind Knobs'!$B$17)+(F93*'03 Mind Knobs'!$B$18)+('03 Mind Knobs'!$B$7*F93))&gt;=MAX(0.15,0.35+(G93*'03 Mind Knobs'!$B$10)-('03 Mind Knobs'!$B$13*0.15)))</x:f>
        <x:v>0</x:v>
      </x:c>
      <x:c r="J93" t="n">
        <x:f>--(MIN(1,C93+D93+(E93*'03 Mind Knobs'!$B$17)+(F93*'03 Mind Knobs'!$B$18)+('03 Mind Knobs'!$B$7*F93))&gt;=MIN(0.95,'03 Mind Knobs'!$B$19+(G93*'03 Mind Knobs'!$B$10)-('03 Mind Knobs'!$B$13*0.10)))</x:f>
        <x:v>0</x:v>
      </x:c>
      <x:c r="K93" t="n">
        <x:f>--(AND(J93=1,OR(E93=1,F93=1)))</x:f>
        <x:v>0</x:v>
      </x:c>
      <x:c r="L93" t="n">
        <x:f>--(MAX(SUMIFS('00 Compact View'!$H$6:$H$205,'00 Compact View'!$A$6:$A$205,A93,'00 Compact View'!$B$6:$B$205,"&gt;="&amp;B93-'03 Mind Knobs'!$B$16+1,'00 Compact View'!$B$6:$B$205,"&lt;="&amp;B93),SUMIFS('00 Compact View'!$I$6:$I$205,'00 Compact View'!$A$6:$A$205,A93,'00 Compact View'!$B$6:$B$205,"&gt;="&amp;B93-'03 Mind Knobs'!$B$16+1,'00 Compact View'!$B$6:$B$205,"&lt;="&amp;B93),SUMIFS('00 Compact View'!$J$6:$J$205,'00 Compact View'!$A$6:$A$205,A93,'00 Compact View'!$B$6:$B$205,"&gt;="&amp;B93-'03 Mind Knobs'!$B$16+1,'00 Compact View'!$B$6:$B$205,"&lt;="&amp;B93),SUMIFS('00 Compact View'!$K$6:$K$205,'00 Compact View'!$A$6:$A$205,A93,'00 Compact View'!$B$6:$B$205,"&gt;="&amp;B93-'03 Mind Knobs'!$B$16+1,'00 Compact View'!$B$6:$B$205,"&lt;="&amp;B93),SUMIFS('00 Compact View'!$L$6:$L$205,'00 Compact View'!$A$6:$A$205,A93,'00 Compact View'!$B$6:$B$205,"&gt;="&amp;B93-'03 Mind Knobs'!$B$16+1,'00 Compact View'!$B$6:$B$205,"&lt;="&amp;B93))&gt;=MAX(1,ROUNDUP('03 Mind Knobs'!$B$16*(1-'03 Mind Knobs'!$B$8),0)))</x:f>
        <x:v>0</x:v>
      </x:c>
      <x:c r="M93" t="n">
        <x:f>--(OR(I93=1,J93=1,K93=1,L93=1))</x:f>
        <x:v>0</x:v>
      </x:c>
    </x:row>
    <x:row r="94">
      <x:c r="A94" t="n">
        <x:f>'00 Compact View'!A94</x:f>
        <x:v>5</x:v>
      </x:c>
      <x:c r="B94" t="n">
        <x:f>'00 Compact View'!B94</x:f>
        <x:v>9</x:v>
      </x:c>
      <x:c r="C94" s="12" t="n">
        <x:f>SUM('00 Compact View'!H94:L94)/5</x:f>
        <x:v>0</x:v>
      </x:c>
      <x:c r="D94" s="12" t="n">
        <x:f>SUM('00 Compact View'!M94:Q94)/5</x:f>
        <x:v>0</x:v>
      </x:c>
      <x:c r="E94" s="12" t="n">
        <x:f>'00 Compact View'!R94</x:f>
        <x:v>0</x:v>
      </x:c>
      <x:c r="F94" s="12" t="n">
        <x:f>'00 Compact View'!T94</x:f>
        <x:v>0</x:v>
      </x:c>
      <x:c r="G94" s="12" t="n">
        <x:f>'04 Resource Body'!$B$10</x:f>
        <x:v>0</x:v>
      </x:c>
      <x:c r="H94" t="n">
        <x:f>--(M94=0)</x:f>
        <x:v>1</x:v>
      </x:c>
      <x:c r="I94" t="n">
        <x:f>--(MIN(1,C94+D94+(E94*'03 Mind Knobs'!$B$17)+(F94*'03 Mind Knobs'!$B$18)+('03 Mind Knobs'!$B$7*F94))&gt;=MAX(0.15,0.35+(G94*'03 Mind Knobs'!$B$10)-('03 Mind Knobs'!$B$13*0.15)))</x:f>
        <x:v>0</x:v>
      </x:c>
      <x:c r="J94" t="n">
        <x:f>--(MIN(1,C94+D94+(E94*'03 Mind Knobs'!$B$17)+(F94*'03 Mind Knobs'!$B$18)+('03 Mind Knobs'!$B$7*F94))&gt;=MIN(0.95,'03 Mind Knobs'!$B$19+(G94*'03 Mind Knobs'!$B$10)-('03 Mind Knobs'!$B$13*0.10)))</x:f>
        <x:v>0</x:v>
      </x:c>
      <x:c r="K94" t="n">
        <x:f>--(AND(J94=1,OR(E94=1,F94=1)))</x:f>
        <x:v>0</x:v>
      </x:c>
      <x:c r="L94" t="n">
        <x:f>--(MAX(SUMIFS('00 Compact View'!$H$6:$H$205,'00 Compact View'!$A$6:$A$205,A94,'00 Compact View'!$B$6:$B$205,"&gt;="&amp;B94-'03 Mind Knobs'!$B$16+1,'00 Compact View'!$B$6:$B$205,"&lt;="&amp;B94),SUMIFS('00 Compact View'!$I$6:$I$205,'00 Compact View'!$A$6:$A$205,A94,'00 Compact View'!$B$6:$B$205,"&gt;="&amp;B94-'03 Mind Knobs'!$B$16+1,'00 Compact View'!$B$6:$B$205,"&lt;="&amp;B94),SUMIFS('00 Compact View'!$J$6:$J$205,'00 Compact View'!$A$6:$A$205,A94,'00 Compact View'!$B$6:$B$205,"&gt;="&amp;B94-'03 Mind Knobs'!$B$16+1,'00 Compact View'!$B$6:$B$205,"&lt;="&amp;B94),SUMIFS('00 Compact View'!$K$6:$K$205,'00 Compact View'!$A$6:$A$205,A94,'00 Compact View'!$B$6:$B$205,"&gt;="&amp;B94-'03 Mind Knobs'!$B$16+1,'00 Compact View'!$B$6:$B$205,"&lt;="&amp;B94),SUMIFS('00 Compact View'!$L$6:$L$205,'00 Compact View'!$A$6:$A$205,A94,'00 Compact View'!$B$6:$B$205,"&gt;="&amp;B94-'03 Mind Knobs'!$B$16+1,'00 Compact View'!$B$6:$B$205,"&lt;="&amp;B94))&gt;=MAX(1,ROUNDUP('03 Mind Knobs'!$B$16*(1-'03 Mind Knobs'!$B$8),0)))</x:f>
        <x:v>0</x:v>
      </x:c>
      <x:c r="M94" t="n">
        <x:f>--(OR(I94=1,J94=1,K94=1,L94=1))</x:f>
        <x:v>0</x:v>
      </x:c>
    </x:row>
    <x:row r="95">
      <x:c r="A95" t="n">
        <x:f>'00 Compact View'!A95</x:f>
        <x:v>5</x:v>
      </x:c>
      <x:c r="B95" t="n">
        <x:f>'00 Compact View'!B95</x:f>
        <x:v>10</x:v>
      </x:c>
      <x:c r="C95" s="12" t="n">
        <x:f>SUM('00 Compact View'!H95:L95)/5</x:f>
        <x:v>0</x:v>
      </x:c>
      <x:c r="D95" s="12" t="n">
        <x:f>SUM('00 Compact View'!M95:Q95)/5</x:f>
        <x:v>0.2</x:v>
      </x:c>
      <x:c r="E95" s="12" t="n">
        <x:f>'00 Compact View'!R95</x:f>
        <x:v>0</x:v>
      </x:c>
      <x:c r="F95" s="12" t="n">
        <x:f>'00 Compact View'!T95</x:f>
        <x:v>1</x:v>
      </x:c>
      <x:c r="G95" s="12" t="n">
        <x:f>'04 Resource Body'!$B$10</x:f>
        <x:v>0</x:v>
      </x:c>
      <x:c r="H95" t="n">
        <x:f>--(M95=0)</x:f>
        <x:v>0</x:v>
      </x:c>
      <x:c r="I95" t="n">
        <x:f>--(MIN(1,C95+D95+(E95*'03 Mind Knobs'!$B$17)+(F95*'03 Mind Knobs'!$B$18)+('03 Mind Knobs'!$B$7*F95))&gt;=MAX(0.15,0.35+(G95*'03 Mind Knobs'!$B$10)-('03 Mind Knobs'!$B$13*0.15)))</x:f>
        <x:v>1</x:v>
      </x:c>
      <x:c r="J95" t="n">
        <x:f>--(MIN(1,C95+D95+(E95*'03 Mind Knobs'!$B$17)+(F95*'03 Mind Knobs'!$B$18)+('03 Mind Knobs'!$B$7*F95))&gt;=MIN(0.95,'03 Mind Knobs'!$B$19+(G95*'03 Mind Knobs'!$B$10)-('03 Mind Knobs'!$B$13*0.10)))</x:f>
        <x:v>1</x:v>
      </x:c>
      <x:c r="K95" t="n">
        <x:f>--(AND(J95=1,OR(E95=1,F95=1)))</x:f>
        <x:v>1</x:v>
      </x:c>
      <x:c r="L95" t="n">
        <x:f>--(MAX(SUMIFS('00 Compact View'!$H$6:$H$205,'00 Compact View'!$A$6:$A$205,A95,'00 Compact View'!$B$6:$B$205,"&gt;="&amp;B95-'03 Mind Knobs'!$B$16+1,'00 Compact View'!$B$6:$B$205,"&lt;="&amp;B95),SUMIFS('00 Compact View'!$I$6:$I$205,'00 Compact View'!$A$6:$A$205,A95,'00 Compact View'!$B$6:$B$205,"&gt;="&amp;B95-'03 Mind Knobs'!$B$16+1,'00 Compact View'!$B$6:$B$205,"&lt;="&amp;B95),SUMIFS('00 Compact View'!$J$6:$J$205,'00 Compact View'!$A$6:$A$205,A95,'00 Compact View'!$B$6:$B$205,"&gt;="&amp;B95-'03 Mind Knobs'!$B$16+1,'00 Compact View'!$B$6:$B$205,"&lt;="&amp;B95),SUMIFS('00 Compact View'!$K$6:$K$205,'00 Compact View'!$A$6:$A$205,A95,'00 Compact View'!$B$6:$B$205,"&gt;="&amp;B95-'03 Mind Knobs'!$B$16+1,'00 Compact View'!$B$6:$B$205,"&lt;="&amp;B95),SUMIFS('00 Compact View'!$L$6:$L$205,'00 Compact View'!$A$6:$A$205,A95,'00 Compact View'!$B$6:$B$205,"&gt;="&amp;B95-'03 Mind Knobs'!$B$16+1,'00 Compact View'!$B$6:$B$205,"&lt;="&amp;B95))&gt;=MAX(1,ROUNDUP('03 Mind Knobs'!$B$16*(1-'03 Mind Knobs'!$B$8),0)))</x:f>
        <x:v>0</x:v>
      </x:c>
      <x:c r="M95" t="n">
        <x:f>--(OR(I95=1,J95=1,K95=1,L95=1))</x:f>
        <x:v>1</x:v>
      </x:c>
    </x:row>
    <x:row r="96">
      <x:c r="A96" t="n">
        <x:f>'00 Compact View'!A96</x:f>
        <x:v>5</x:v>
      </x:c>
      <x:c r="B96" t="n">
        <x:f>'00 Compact View'!B96</x:f>
        <x:v>11</x:v>
      </x:c>
      <x:c r="C96" s="12" t="n">
        <x:f>SUM('00 Compact View'!H96:L96)/5</x:f>
        <x:v>0</x:v>
      </x:c>
      <x:c r="D96" s="12" t="n">
        <x:f>SUM('00 Compact View'!M96:Q96)/5</x:f>
        <x:v>0.4</x:v>
      </x:c>
      <x:c r="E96" s="12" t="n">
        <x:f>'00 Compact View'!R96</x:f>
        <x:v>1</x:v>
      </x:c>
      <x:c r="F96" s="12" t="n">
        <x:f>'00 Compact View'!T96</x:f>
        <x:v>1</x:v>
      </x:c>
      <x:c r="G96" s="12" t="n">
        <x:f>'04 Resource Body'!$B$10</x:f>
        <x:v>0</x:v>
      </x:c>
      <x:c r="H96" t="n">
        <x:f>--(M96=0)</x:f>
        <x:v>0</x:v>
      </x:c>
      <x:c r="I96" t="n">
        <x:f>--(MIN(1,C96+D96+(E96*'03 Mind Knobs'!$B$17)+(F96*'03 Mind Knobs'!$B$18)+('03 Mind Knobs'!$B$7*F96))&gt;=MAX(0.15,0.35+(G96*'03 Mind Knobs'!$B$10)-('03 Mind Knobs'!$B$13*0.15)))</x:f>
        <x:v>1</x:v>
      </x:c>
      <x:c r="J96" t="n">
        <x:f>--(MIN(1,C96+D96+(E96*'03 Mind Knobs'!$B$17)+(F96*'03 Mind Knobs'!$B$18)+('03 Mind Knobs'!$B$7*F96))&gt;=MIN(0.95,'03 Mind Knobs'!$B$19+(G96*'03 Mind Knobs'!$B$10)-('03 Mind Knobs'!$B$13*0.10)))</x:f>
        <x:v>1</x:v>
      </x:c>
      <x:c r="K96" t="n">
        <x:f>--(AND(J96=1,OR(E96=1,F96=1)))</x:f>
        <x:v>1</x:v>
      </x:c>
      <x:c r="L96" t="n">
        <x:f>--(MAX(SUMIFS('00 Compact View'!$H$6:$H$205,'00 Compact View'!$A$6:$A$205,A96,'00 Compact View'!$B$6:$B$205,"&gt;="&amp;B96-'03 Mind Knobs'!$B$16+1,'00 Compact View'!$B$6:$B$205,"&lt;="&amp;B96),SUMIFS('00 Compact View'!$I$6:$I$205,'00 Compact View'!$A$6:$A$205,A96,'00 Compact View'!$B$6:$B$205,"&gt;="&amp;B96-'03 Mind Knobs'!$B$16+1,'00 Compact View'!$B$6:$B$205,"&lt;="&amp;B96),SUMIFS('00 Compact View'!$J$6:$J$205,'00 Compact View'!$A$6:$A$205,A96,'00 Compact View'!$B$6:$B$205,"&gt;="&amp;B96-'03 Mind Knobs'!$B$16+1,'00 Compact View'!$B$6:$B$205,"&lt;="&amp;B96),SUMIFS('00 Compact View'!$K$6:$K$205,'00 Compact View'!$A$6:$A$205,A96,'00 Compact View'!$B$6:$B$205,"&gt;="&amp;B96-'03 Mind Knobs'!$B$16+1,'00 Compact View'!$B$6:$B$205,"&lt;="&amp;B96),SUMIFS('00 Compact View'!$L$6:$L$205,'00 Compact View'!$A$6:$A$205,A96,'00 Compact View'!$B$6:$B$205,"&gt;="&amp;B96-'03 Mind Knobs'!$B$16+1,'00 Compact View'!$B$6:$B$205,"&lt;="&amp;B96))&gt;=MAX(1,ROUNDUP('03 Mind Knobs'!$B$16*(1-'03 Mind Knobs'!$B$8),0)))</x:f>
        <x:v>0</x:v>
      </x:c>
      <x:c r="M96" t="n">
        <x:f>--(OR(I96=1,J96=1,K96=1,L96=1))</x:f>
        <x:v>1</x:v>
      </x:c>
    </x:row>
    <x:row r="97">
      <x:c r="A97" t="n">
        <x:f>'00 Compact View'!A97</x:f>
        <x:v>5</x:v>
      </x:c>
      <x:c r="B97" t="n">
        <x:f>'00 Compact View'!B97</x:f>
        <x:v>12</x:v>
      </x:c>
      <x:c r="C97" s="12" t="n">
        <x:f>SUM('00 Compact View'!H97:L97)/5</x:f>
        <x:v>0</x:v>
      </x:c>
      <x:c r="D97" s="12" t="n">
        <x:f>SUM('00 Compact View'!M97:Q97)/5</x:f>
        <x:v>0</x:v>
      </x:c>
      <x:c r="E97" s="12" t="n">
        <x:f>'00 Compact View'!R97</x:f>
        <x:v>0</x:v>
      </x:c>
      <x:c r="F97" s="12" t="n">
        <x:f>'00 Compact View'!T97</x:f>
        <x:v>1</x:v>
      </x:c>
      <x:c r="G97" s="12" t="n">
        <x:f>'04 Resource Body'!$B$10</x:f>
        <x:v>0</x:v>
      </x:c>
      <x:c r="H97" t="n">
        <x:f>--(M97=0)</x:f>
        <x:v>0</x:v>
      </x:c>
      <x:c r="I97" t="n">
        <x:f>--(MIN(1,C97+D97+(E97*'03 Mind Knobs'!$B$17)+(F97*'03 Mind Knobs'!$B$18)+('03 Mind Knobs'!$B$7*F97))&gt;=MAX(0.15,0.35+(G97*'03 Mind Knobs'!$B$10)-('03 Mind Knobs'!$B$13*0.15)))</x:f>
        <x:v>1</x:v>
      </x:c>
      <x:c r="J97" t="n">
        <x:f>--(MIN(1,C97+D97+(E97*'03 Mind Knobs'!$B$17)+(F97*'03 Mind Knobs'!$B$18)+('03 Mind Knobs'!$B$7*F97))&gt;=MIN(0.95,'03 Mind Knobs'!$B$19+(G97*'03 Mind Knobs'!$B$10)-('03 Mind Knobs'!$B$13*0.10)))</x:f>
        <x:v>1</x:v>
      </x:c>
      <x:c r="K97" t="n">
        <x:f>--(AND(J97=1,OR(E97=1,F97=1)))</x:f>
        <x:v>1</x:v>
      </x:c>
      <x:c r="L97" t="n">
        <x:f>--(MAX(SUMIFS('00 Compact View'!$H$6:$H$205,'00 Compact View'!$A$6:$A$205,A97,'00 Compact View'!$B$6:$B$205,"&gt;="&amp;B97-'03 Mind Knobs'!$B$16+1,'00 Compact View'!$B$6:$B$205,"&lt;="&amp;B97),SUMIFS('00 Compact View'!$I$6:$I$205,'00 Compact View'!$A$6:$A$205,A97,'00 Compact View'!$B$6:$B$205,"&gt;="&amp;B97-'03 Mind Knobs'!$B$16+1,'00 Compact View'!$B$6:$B$205,"&lt;="&amp;B97),SUMIFS('00 Compact View'!$J$6:$J$205,'00 Compact View'!$A$6:$A$205,A97,'00 Compact View'!$B$6:$B$205,"&gt;="&amp;B97-'03 Mind Knobs'!$B$16+1,'00 Compact View'!$B$6:$B$205,"&lt;="&amp;B97),SUMIFS('00 Compact View'!$K$6:$K$205,'00 Compact View'!$A$6:$A$205,A97,'00 Compact View'!$B$6:$B$205,"&gt;="&amp;B97-'03 Mind Knobs'!$B$16+1,'00 Compact View'!$B$6:$B$205,"&lt;="&amp;B97),SUMIFS('00 Compact View'!$L$6:$L$205,'00 Compact View'!$A$6:$A$205,A97,'00 Compact View'!$B$6:$B$205,"&gt;="&amp;B97-'03 Mind Knobs'!$B$16+1,'00 Compact View'!$B$6:$B$205,"&lt;="&amp;B97))&gt;=MAX(1,ROUNDUP('03 Mind Knobs'!$B$16*(1-'03 Mind Knobs'!$B$8),0)))</x:f>
        <x:v>0</x:v>
      </x:c>
      <x:c r="M97" t="n">
        <x:f>--(OR(I97=1,J97=1,K97=1,L97=1))</x:f>
        <x:v>1</x:v>
      </x:c>
    </x:row>
    <x:row r="98">
      <x:c r="A98" t="n">
        <x:f>'00 Compact View'!A98</x:f>
        <x:v>5</x:v>
      </x:c>
      <x:c r="B98" t="n">
        <x:f>'00 Compact View'!B98</x:f>
        <x:v>13</x:v>
      </x:c>
      <x:c r="C98" s="12" t="n">
        <x:f>SUM('00 Compact View'!H98:L98)/5</x:f>
        <x:v>0</x:v>
      </x:c>
      <x:c r="D98" s="12" t="n">
        <x:f>SUM('00 Compact View'!M98:Q98)/5</x:f>
        <x:v>0</x:v>
      </x:c>
      <x:c r="E98" s="12" t="n">
        <x:f>'00 Compact View'!R98</x:f>
        <x:v>0</x:v>
      </x:c>
      <x:c r="F98" s="12" t="n">
        <x:f>'00 Compact View'!T98</x:f>
        <x:v>0</x:v>
      </x:c>
      <x:c r="G98" s="12" t="n">
        <x:f>'04 Resource Body'!$B$10</x:f>
        <x:v>0</x:v>
      </x:c>
      <x:c r="H98" t="n">
        <x:f>--(M98=0)</x:f>
        <x:v>1</x:v>
      </x:c>
      <x:c r="I98" t="n">
        <x:f>--(MIN(1,C98+D98+(E98*'03 Mind Knobs'!$B$17)+(F98*'03 Mind Knobs'!$B$18)+('03 Mind Knobs'!$B$7*F98))&gt;=MAX(0.15,0.35+(G98*'03 Mind Knobs'!$B$10)-('03 Mind Knobs'!$B$13*0.15)))</x:f>
        <x:v>0</x:v>
      </x:c>
      <x:c r="J98" t="n">
        <x:f>--(MIN(1,C98+D98+(E98*'03 Mind Knobs'!$B$17)+(F98*'03 Mind Knobs'!$B$18)+('03 Mind Knobs'!$B$7*F98))&gt;=MIN(0.95,'03 Mind Knobs'!$B$19+(G98*'03 Mind Knobs'!$B$10)-('03 Mind Knobs'!$B$13*0.10)))</x:f>
        <x:v>0</x:v>
      </x:c>
      <x:c r="K98" t="n">
        <x:f>--(AND(J98=1,OR(E98=1,F98=1)))</x:f>
        <x:v>0</x:v>
      </x:c>
      <x:c r="L98" t="n">
        <x:f>--(MAX(SUMIFS('00 Compact View'!$H$6:$H$205,'00 Compact View'!$A$6:$A$205,A98,'00 Compact View'!$B$6:$B$205,"&gt;="&amp;B98-'03 Mind Knobs'!$B$16+1,'00 Compact View'!$B$6:$B$205,"&lt;="&amp;B98),SUMIFS('00 Compact View'!$I$6:$I$205,'00 Compact View'!$A$6:$A$205,A98,'00 Compact View'!$B$6:$B$205,"&gt;="&amp;B98-'03 Mind Knobs'!$B$16+1,'00 Compact View'!$B$6:$B$205,"&lt;="&amp;B98),SUMIFS('00 Compact View'!$J$6:$J$205,'00 Compact View'!$A$6:$A$205,A98,'00 Compact View'!$B$6:$B$205,"&gt;="&amp;B98-'03 Mind Knobs'!$B$16+1,'00 Compact View'!$B$6:$B$205,"&lt;="&amp;B98),SUMIFS('00 Compact View'!$K$6:$K$205,'00 Compact View'!$A$6:$A$205,A98,'00 Compact View'!$B$6:$B$205,"&gt;="&amp;B98-'03 Mind Knobs'!$B$16+1,'00 Compact View'!$B$6:$B$205,"&lt;="&amp;B98),SUMIFS('00 Compact View'!$L$6:$L$205,'00 Compact View'!$A$6:$A$205,A98,'00 Compact View'!$B$6:$B$205,"&gt;="&amp;B98-'03 Mind Knobs'!$B$16+1,'00 Compact View'!$B$6:$B$205,"&lt;="&amp;B98))&gt;=MAX(1,ROUNDUP('03 Mind Knobs'!$B$16*(1-'03 Mind Knobs'!$B$8),0)))</x:f>
        <x:v>0</x:v>
      </x:c>
      <x:c r="M98" t="n">
        <x:f>--(OR(I98=1,J98=1,K98=1,L98=1))</x:f>
        <x:v>0</x:v>
      </x:c>
    </x:row>
    <x:row r="99">
      <x:c r="A99" t="n">
        <x:f>'00 Compact View'!A99</x:f>
        <x:v>5</x:v>
      </x:c>
      <x:c r="B99" t="n">
        <x:f>'00 Compact View'!B99</x:f>
        <x:v>14</x:v>
      </x:c>
      <x:c r="C99" s="12" t="n">
        <x:f>SUM('00 Compact View'!H99:L99)/5</x:f>
        <x:v>0</x:v>
      </x:c>
      <x:c r="D99" s="12" t="n">
        <x:f>SUM('00 Compact View'!M99:Q99)/5</x:f>
        <x:v>0</x:v>
      </x:c>
      <x:c r="E99" s="12" t="n">
        <x:f>'00 Compact View'!R99</x:f>
        <x:v>0</x:v>
      </x:c>
      <x:c r="F99" s="12" t="n">
        <x:f>'00 Compact View'!T99</x:f>
        <x:v>0</x:v>
      </x:c>
      <x:c r="G99" s="12" t="n">
        <x:f>'04 Resource Body'!$B$10</x:f>
        <x:v>0</x:v>
      </x:c>
      <x:c r="H99" t="n">
        <x:f>--(M99=0)</x:f>
        <x:v>1</x:v>
      </x:c>
      <x:c r="I99" t="n">
        <x:f>--(MIN(1,C99+D99+(E99*'03 Mind Knobs'!$B$17)+(F99*'03 Mind Knobs'!$B$18)+('03 Mind Knobs'!$B$7*F99))&gt;=MAX(0.15,0.35+(G99*'03 Mind Knobs'!$B$10)-('03 Mind Knobs'!$B$13*0.15)))</x:f>
        <x:v>0</x:v>
      </x:c>
      <x:c r="J99" t="n">
        <x:f>--(MIN(1,C99+D99+(E99*'03 Mind Knobs'!$B$17)+(F99*'03 Mind Knobs'!$B$18)+('03 Mind Knobs'!$B$7*F99))&gt;=MIN(0.95,'03 Mind Knobs'!$B$19+(G99*'03 Mind Knobs'!$B$10)-('03 Mind Knobs'!$B$13*0.10)))</x:f>
        <x:v>0</x:v>
      </x:c>
      <x:c r="K99" t="n">
        <x:f>--(AND(J99=1,OR(E99=1,F99=1)))</x:f>
        <x:v>0</x:v>
      </x:c>
      <x:c r="L99" t="n">
        <x:f>--(MAX(SUMIFS('00 Compact View'!$H$6:$H$205,'00 Compact View'!$A$6:$A$205,A99,'00 Compact View'!$B$6:$B$205,"&gt;="&amp;B99-'03 Mind Knobs'!$B$16+1,'00 Compact View'!$B$6:$B$205,"&lt;="&amp;B99),SUMIFS('00 Compact View'!$I$6:$I$205,'00 Compact View'!$A$6:$A$205,A99,'00 Compact View'!$B$6:$B$205,"&gt;="&amp;B99-'03 Mind Knobs'!$B$16+1,'00 Compact View'!$B$6:$B$205,"&lt;="&amp;B99),SUMIFS('00 Compact View'!$J$6:$J$205,'00 Compact View'!$A$6:$A$205,A99,'00 Compact View'!$B$6:$B$205,"&gt;="&amp;B99-'03 Mind Knobs'!$B$16+1,'00 Compact View'!$B$6:$B$205,"&lt;="&amp;B99),SUMIFS('00 Compact View'!$K$6:$K$205,'00 Compact View'!$A$6:$A$205,A99,'00 Compact View'!$B$6:$B$205,"&gt;="&amp;B99-'03 Mind Knobs'!$B$16+1,'00 Compact View'!$B$6:$B$205,"&lt;="&amp;B99),SUMIFS('00 Compact View'!$L$6:$L$205,'00 Compact View'!$A$6:$A$205,A99,'00 Compact View'!$B$6:$B$205,"&gt;="&amp;B99-'03 Mind Knobs'!$B$16+1,'00 Compact View'!$B$6:$B$205,"&lt;="&amp;B99))&gt;=MAX(1,ROUNDUP('03 Mind Knobs'!$B$16*(1-'03 Mind Knobs'!$B$8),0)))</x:f>
        <x:v>0</x:v>
      </x:c>
      <x:c r="M99" t="n">
        <x:f>--(OR(I99=1,J99=1,K99=1,L99=1))</x:f>
        <x:v>0</x:v>
      </x:c>
    </x:row>
    <x:row r="100">
      <x:c r="A100" t="n">
        <x:f>'00 Compact View'!A100</x:f>
        <x:v>5</x:v>
      </x:c>
      <x:c r="B100" t="n">
        <x:f>'00 Compact View'!B100</x:f>
        <x:v>15</x:v>
      </x:c>
      <x:c r="C100" s="12" t="n">
        <x:f>SUM('00 Compact View'!H100:L100)/5</x:f>
        <x:v>0</x:v>
      </x:c>
      <x:c r="D100" s="12" t="n">
        <x:f>SUM('00 Compact View'!M100:Q100)/5</x:f>
        <x:v>0</x:v>
      </x:c>
      <x:c r="E100" s="12" t="n">
        <x:f>'00 Compact View'!R100</x:f>
        <x:v>0</x:v>
      </x:c>
      <x:c r="F100" s="12" t="n">
        <x:f>'00 Compact View'!T100</x:f>
        <x:v>0</x:v>
      </x:c>
      <x:c r="G100" s="12" t="n">
        <x:f>'04 Resource Body'!$B$10</x:f>
        <x:v>0</x:v>
      </x:c>
      <x:c r="H100" t="n">
        <x:f>--(M100=0)</x:f>
        <x:v>1</x:v>
      </x:c>
      <x:c r="I100" t="n">
        <x:f>--(MIN(1,C100+D100+(E100*'03 Mind Knobs'!$B$17)+(F100*'03 Mind Knobs'!$B$18)+('03 Mind Knobs'!$B$7*F100))&gt;=MAX(0.15,0.35+(G100*'03 Mind Knobs'!$B$10)-('03 Mind Knobs'!$B$13*0.15)))</x:f>
        <x:v>0</x:v>
      </x:c>
      <x:c r="J100" t="n">
        <x:f>--(MIN(1,C100+D100+(E100*'03 Mind Knobs'!$B$17)+(F100*'03 Mind Knobs'!$B$18)+('03 Mind Knobs'!$B$7*F100))&gt;=MIN(0.95,'03 Mind Knobs'!$B$19+(G100*'03 Mind Knobs'!$B$10)-('03 Mind Knobs'!$B$13*0.10)))</x:f>
        <x:v>0</x:v>
      </x:c>
      <x:c r="K100" t="n">
        <x:f>--(AND(J100=1,OR(E100=1,F100=1)))</x:f>
        <x:v>0</x:v>
      </x:c>
      <x:c r="L100" t="n">
        <x:f>--(MAX(SUMIFS('00 Compact View'!$H$6:$H$205,'00 Compact View'!$A$6:$A$205,A100,'00 Compact View'!$B$6:$B$205,"&gt;="&amp;B100-'03 Mind Knobs'!$B$16+1,'00 Compact View'!$B$6:$B$205,"&lt;="&amp;B100),SUMIFS('00 Compact View'!$I$6:$I$205,'00 Compact View'!$A$6:$A$205,A100,'00 Compact View'!$B$6:$B$205,"&gt;="&amp;B100-'03 Mind Knobs'!$B$16+1,'00 Compact View'!$B$6:$B$205,"&lt;="&amp;B100),SUMIFS('00 Compact View'!$J$6:$J$205,'00 Compact View'!$A$6:$A$205,A100,'00 Compact View'!$B$6:$B$205,"&gt;="&amp;B100-'03 Mind Knobs'!$B$16+1,'00 Compact View'!$B$6:$B$205,"&lt;="&amp;B100),SUMIFS('00 Compact View'!$K$6:$K$205,'00 Compact View'!$A$6:$A$205,A100,'00 Compact View'!$B$6:$B$205,"&gt;="&amp;B100-'03 Mind Knobs'!$B$16+1,'00 Compact View'!$B$6:$B$205,"&lt;="&amp;B100),SUMIFS('00 Compact View'!$L$6:$L$205,'00 Compact View'!$A$6:$A$205,A100,'00 Compact View'!$B$6:$B$205,"&gt;="&amp;B100-'03 Mind Knobs'!$B$16+1,'00 Compact View'!$B$6:$B$205,"&lt;="&amp;B100))&gt;=MAX(1,ROUNDUP('03 Mind Knobs'!$B$16*(1-'03 Mind Knobs'!$B$8),0)))</x:f>
        <x:v>0</x:v>
      </x:c>
      <x:c r="M100" t="n">
        <x:f>--(OR(I100=1,J100=1,K100=1,L100=1))</x:f>
        <x:v>0</x:v>
      </x:c>
    </x:row>
    <x:row r="101">
      <x:c r="A101" t="n">
        <x:f>'00 Compact View'!A101</x:f>
        <x:v>5</x:v>
      </x:c>
      <x:c r="B101" t="n">
        <x:f>'00 Compact View'!B101</x:f>
        <x:v>16</x:v>
      </x:c>
      <x:c r="C101" s="12" t="n">
        <x:f>SUM('00 Compact View'!H101:L101)/5</x:f>
        <x:v>0</x:v>
      </x:c>
      <x:c r="D101" s="12" t="n">
        <x:f>SUM('00 Compact View'!M101:Q101)/5</x:f>
        <x:v>0</x:v>
      </x:c>
      <x:c r="E101" s="12" t="n">
        <x:f>'00 Compact View'!R101</x:f>
        <x:v>0</x:v>
      </x:c>
      <x:c r="F101" s="12" t="n">
        <x:f>'00 Compact View'!T101</x:f>
        <x:v>0</x:v>
      </x:c>
      <x:c r="G101" s="12" t="n">
        <x:f>'04 Resource Body'!$B$10</x:f>
        <x:v>0</x:v>
      </x:c>
      <x:c r="H101" t="n">
        <x:f>--(M101=0)</x:f>
        <x:v>1</x:v>
      </x:c>
      <x:c r="I101" t="n">
        <x:f>--(MIN(1,C101+D101+(E101*'03 Mind Knobs'!$B$17)+(F101*'03 Mind Knobs'!$B$18)+('03 Mind Knobs'!$B$7*F101))&gt;=MAX(0.15,0.35+(G101*'03 Mind Knobs'!$B$10)-('03 Mind Knobs'!$B$13*0.15)))</x:f>
        <x:v>0</x:v>
      </x:c>
      <x:c r="J101" t="n">
        <x:f>--(MIN(1,C101+D101+(E101*'03 Mind Knobs'!$B$17)+(F101*'03 Mind Knobs'!$B$18)+('03 Mind Knobs'!$B$7*F101))&gt;=MIN(0.95,'03 Mind Knobs'!$B$19+(G101*'03 Mind Knobs'!$B$10)-('03 Mind Knobs'!$B$13*0.10)))</x:f>
        <x:v>0</x:v>
      </x:c>
      <x:c r="K101" t="n">
        <x:f>--(AND(J101=1,OR(E101=1,F101=1)))</x:f>
        <x:v>0</x:v>
      </x:c>
      <x:c r="L101" t="n">
        <x:f>--(MAX(SUMIFS('00 Compact View'!$H$6:$H$205,'00 Compact View'!$A$6:$A$205,A101,'00 Compact View'!$B$6:$B$205,"&gt;="&amp;B101-'03 Mind Knobs'!$B$16+1,'00 Compact View'!$B$6:$B$205,"&lt;="&amp;B101),SUMIFS('00 Compact View'!$I$6:$I$205,'00 Compact View'!$A$6:$A$205,A101,'00 Compact View'!$B$6:$B$205,"&gt;="&amp;B101-'03 Mind Knobs'!$B$16+1,'00 Compact View'!$B$6:$B$205,"&lt;="&amp;B101),SUMIFS('00 Compact View'!$J$6:$J$205,'00 Compact View'!$A$6:$A$205,A101,'00 Compact View'!$B$6:$B$205,"&gt;="&amp;B101-'03 Mind Knobs'!$B$16+1,'00 Compact View'!$B$6:$B$205,"&lt;="&amp;B101),SUMIFS('00 Compact View'!$K$6:$K$205,'00 Compact View'!$A$6:$A$205,A101,'00 Compact View'!$B$6:$B$205,"&gt;="&amp;B101-'03 Mind Knobs'!$B$16+1,'00 Compact View'!$B$6:$B$205,"&lt;="&amp;B101),SUMIFS('00 Compact View'!$L$6:$L$205,'00 Compact View'!$A$6:$A$205,A101,'00 Compact View'!$B$6:$B$205,"&gt;="&amp;B101-'03 Mind Knobs'!$B$16+1,'00 Compact View'!$B$6:$B$205,"&lt;="&amp;B101))&gt;=MAX(1,ROUNDUP('03 Mind Knobs'!$B$16*(1-'03 Mind Knobs'!$B$8),0)))</x:f>
        <x:v>0</x:v>
      </x:c>
      <x:c r="M101" t="n">
        <x:f>--(OR(I101=1,J101=1,K101=1,L101=1))</x:f>
        <x:v>0</x:v>
      </x:c>
    </x:row>
    <x:row r="102">
      <x:c r="A102" t="n">
        <x:f>'00 Compact View'!A102</x:f>
        <x:v>5</x:v>
      </x:c>
      <x:c r="B102" t="n">
        <x:f>'00 Compact View'!B102</x:f>
        <x:v>17</x:v>
      </x:c>
      <x:c r="C102" s="12" t="n">
        <x:f>SUM('00 Compact View'!H102:L102)/5</x:f>
        <x:v>0</x:v>
      </x:c>
      <x:c r="D102" s="12" t="n">
        <x:f>SUM('00 Compact View'!M102:Q102)/5</x:f>
        <x:v>0</x:v>
      </x:c>
      <x:c r="E102" s="12" t="n">
        <x:f>'00 Compact View'!R102</x:f>
        <x:v>0</x:v>
      </x:c>
      <x:c r="F102" s="12" t="n">
        <x:f>'00 Compact View'!T102</x:f>
        <x:v>0</x:v>
      </x:c>
      <x:c r="G102" s="12" t="n">
        <x:f>'04 Resource Body'!$B$10</x:f>
        <x:v>0</x:v>
      </x:c>
      <x:c r="H102" t="n">
        <x:f>--(M102=0)</x:f>
        <x:v>1</x:v>
      </x:c>
      <x:c r="I102" t="n">
        <x:f>--(MIN(1,C102+D102+(E102*'03 Mind Knobs'!$B$17)+(F102*'03 Mind Knobs'!$B$18)+('03 Mind Knobs'!$B$7*F102))&gt;=MAX(0.15,0.35+(G102*'03 Mind Knobs'!$B$10)-('03 Mind Knobs'!$B$13*0.15)))</x:f>
        <x:v>0</x:v>
      </x:c>
      <x:c r="J102" t="n">
        <x:f>--(MIN(1,C102+D102+(E102*'03 Mind Knobs'!$B$17)+(F102*'03 Mind Knobs'!$B$18)+('03 Mind Knobs'!$B$7*F102))&gt;=MIN(0.95,'03 Mind Knobs'!$B$19+(G102*'03 Mind Knobs'!$B$10)-('03 Mind Knobs'!$B$13*0.10)))</x:f>
        <x:v>0</x:v>
      </x:c>
      <x:c r="K102" t="n">
        <x:f>--(AND(J102=1,OR(E102=1,F102=1)))</x:f>
        <x:v>0</x:v>
      </x:c>
      <x:c r="L102" t="n">
        <x:f>--(MAX(SUMIFS('00 Compact View'!$H$6:$H$205,'00 Compact View'!$A$6:$A$205,A102,'00 Compact View'!$B$6:$B$205,"&gt;="&amp;B102-'03 Mind Knobs'!$B$16+1,'00 Compact View'!$B$6:$B$205,"&lt;="&amp;B102),SUMIFS('00 Compact View'!$I$6:$I$205,'00 Compact View'!$A$6:$A$205,A102,'00 Compact View'!$B$6:$B$205,"&gt;="&amp;B102-'03 Mind Knobs'!$B$16+1,'00 Compact View'!$B$6:$B$205,"&lt;="&amp;B102),SUMIFS('00 Compact View'!$J$6:$J$205,'00 Compact View'!$A$6:$A$205,A102,'00 Compact View'!$B$6:$B$205,"&gt;="&amp;B102-'03 Mind Knobs'!$B$16+1,'00 Compact View'!$B$6:$B$205,"&lt;="&amp;B102),SUMIFS('00 Compact View'!$K$6:$K$205,'00 Compact View'!$A$6:$A$205,A102,'00 Compact View'!$B$6:$B$205,"&gt;="&amp;B102-'03 Mind Knobs'!$B$16+1,'00 Compact View'!$B$6:$B$205,"&lt;="&amp;B102),SUMIFS('00 Compact View'!$L$6:$L$205,'00 Compact View'!$A$6:$A$205,A102,'00 Compact View'!$B$6:$B$205,"&gt;="&amp;B102-'03 Mind Knobs'!$B$16+1,'00 Compact View'!$B$6:$B$205,"&lt;="&amp;B102))&gt;=MAX(1,ROUNDUP('03 Mind Knobs'!$B$16*(1-'03 Mind Knobs'!$B$8),0)))</x:f>
        <x:v>0</x:v>
      </x:c>
      <x:c r="M102" t="n">
        <x:f>--(OR(I102=1,J102=1,K102=1,L102=1))</x:f>
        <x:v>0</x:v>
      </x:c>
    </x:row>
    <x:row r="103">
      <x:c r="A103" t="n">
        <x:f>'00 Compact View'!A103</x:f>
        <x:v>5</x:v>
      </x:c>
      <x:c r="B103" t="n">
        <x:f>'00 Compact View'!B103</x:f>
        <x:v>18</x:v>
      </x:c>
      <x:c r="C103" s="12" t="n">
        <x:f>SUM('00 Compact View'!H103:L103)/5</x:f>
        <x:v>0</x:v>
      </x:c>
      <x:c r="D103" s="12" t="n">
        <x:f>SUM('00 Compact View'!M103:Q103)/5</x:f>
        <x:v>0</x:v>
      </x:c>
      <x:c r="E103" s="12" t="n">
        <x:f>'00 Compact View'!R103</x:f>
        <x:v>0</x:v>
      </x:c>
      <x:c r="F103" s="12" t="n">
        <x:f>'00 Compact View'!T103</x:f>
        <x:v>0</x:v>
      </x:c>
      <x:c r="G103" s="12" t="n">
        <x:f>'04 Resource Body'!$B$10</x:f>
        <x:v>0</x:v>
      </x:c>
      <x:c r="H103" t="n">
        <x:f>--(M103=0)</x:f>
        <x:v>1</x:v>
      </x:c>
      <x:c r="I103" t="n">
        <x:f>--(MIN(1,C103+D103+(E103*'03 Mind Knobs'!$B$17)+(F103*'03 Mind Knobs'!$B$18)+('03 Mind Knobs'!$B$7*F103))&gt;=MAX(0.15,0.35+(G103*'03 Mind Knobs'!$B$10)-('03 Mind Knobs'!$B$13*0.15)))</x:f>
        <x:v>0</x:v>
      </x:c>
      <x:c r="J103" t="n">
        <x:f>--(MIN(1,C103+D103+(E103*'03 Mind Knobs'!$B$17)+(F103*'03 Mind Knobs'!$B$18)+('03 Mind Knobs'!$B$7*F103))&gt;=MIN(0.95,'03 Mind Knobs'!$B$19+(G103*'03 Mind Knobs'!$B$10)-('03 Mind Knobs'!$B$13*0.10)))</x:f>
        <x:v>0</x:v>
      </x:c>
      <x:c r="K103" t="n">
        <x:f>--(AND(J103=1,OR(E103=1,F103=1)))</x:f>
        <x:v>0</x:v>
      </x:c>
      <x:c r="L103" t="n">
        <x:f>--(MAX(SUMIFS('00 Compact View'!$H$6:$H$205,'00 Compact View'!$A$6:$A$205,A103,'00 Compact View'!$B$6:$B$205,"&gt;="&amp;B103-'03 Mind Knobs'!$B$16+1,'00 Compact View'!$B$6:$B$205,"&lt;="&amp;B103),SUMIFS('00 Compact View'!$I$6:$I$205,'00 Compact View'!$A$6:$A$205,A103,'00 Compact View'!$B$6:$B$205,"&gt;="&amp;B103-'03 Mind Knobs'!$B$16+1,'00 Compact View'!$B$6:$B$205,"&lt;="&amp;B103),SUMIFS('00 Compact View'!$J$6:$J$205,'00 Compact View'!$A$6:$A$205,A103,'00 Compact View'!$B$6:$B$205,"&gt;="&amp;B103-'03 Mind Knobs'!$B$16+1,'00 Compact View'!$B$6:$B$205,"&lt;="&amp;B103),SUMIFS('00 Compact View'!$K$6:$K$205,'00 Compact View'!$A$6:$A$205,A103,'00 Compact View'!$B$6:$B$205,"&gt;="&amp;B103-'03 Mind Knobs'!$B$16+1,'00 Compact View'!$B$6:$B$205,"&lt;="&amp;B103),SUMIFS('00 Compact View'!$L$6:$L$205,'00 Compact View'!$A$6:$A$205,A103,'00 Compact View'!$B$6:$B$205,"&gt;="&amp;B103-'03 Mind Knobs'!$B$16+1,'00 Compact View'!$B$6:$B$205,"&lt;="&amp;B103))&gt;=MAX(1,ROUNDUP('03 Mind Knobs'!$B$16*(1-'03 Mind Knobs'!$B$8),0)))</x:f>
        <x:v>0</x:v>
      </x:c>
      <x:c r="M103" t="n">
        <x:f>--(OR(I103=1,J103=1,K103=1,L103=1))</x:f>
        <x:v>0</x:v>
      </x:c>
    </x:row>
    <x:row r="104">
      <x:c r="A104" t="n">
        <x:f>'00 Compact View'!A104</x:f>
        <x:v>5</x:v>
      </x:c>
      <x:c r="B104" t="n">
        <x:f>'00 Compact View'!B104</x:f>
        <x:v>19</x:v>
      </x:c>
      <x:c r="C104" s="12" t="n">
        <x:f>SUM('00 Compact View'!H104:L104)/5</x:f>
        <x:v>0</x:v>
      </x:c>
      <x:c r="D104" s="12" t="n">
        <x:f>SUM('00 Compact View'!M104:Q104)/5</x:f>
        <x:v>0</x:v>
      </x:c>
      <x:c r="E104" s="12" t="n">
        <x:f>'00 Compact View'!R104</x:f>
        <x:v>0</x:v>
      </x:c>
      <x:c r="F104" s="12" t="n">
        <x:f>'00 Compact View'!T104</x:f>
        <x:v>0</x:v>
      </x:c>
      <x:c r="G104" s="12" t="n">
        <x:f>'04 Resource Body'!$B$10</x:f>
        <x:v>0</x:v>
      </x:c>
      <x:c r="H104" t="n">
        <x:f>--(M104=0)</x:f>
        <x:v>1</x:v>
      </x:c>
      <x:c r="I104" t="n">
        <x:f>--(MIN(1,C104+D104+(E104*'03 Mind Knobs'!$B$17)+(F104*'03 Mind Knobs'!$B$18)+('03 Mind Knobs'!$B$7*F104))&gt;=MAX(0.15,0.35+(G104*'03 Mind Knobs'!$B$10)-('03 Mind Knobs'!$B$13*0.15)))</x:f>
        <x:v>0</x:v>
      </x:c>
      <x:c r="J104" t="n">
        <x:f>--(MIN(1,C104+D104+(E104*'03 Mind Knobs'!$B$17)+(F104*'03 Mind Knobs'!$B$18)+('03 Mind Knobs'!$B$7*F104))&gt;=MIN(0.95,'03 Mind Knobs'!$B$19+(G104*'03 Mind Knobs'!$B$10)-('03 Mind Knobs'!$B$13*0.10)))</x:f>
        <x:v>0</x:v>
      </x:c>
      <x:c r="K104" t="n">
        <x:f>--(AND(J104=1,OR(E104=1,F104=1)))</x:f>
        <x:v>0</x:v>
      </x:c>
      <x:c r="L104" t="n">
        <x:f>--(MAX(SUMIFS('00 Compact View'!$H$6:$H$205,'00 Compact View'!$A$6:$A$205,A104,'00 Compact View'!$B$6:$B$205,"&gt;="&amp;B104-'03 Mind Knobs'!$B$16+1,'00 Compact View'!$B$6:$B$205,"&lt;="&amp;B104),SUMIFS('00 Compact View'!$I$6:$I$205,'00 Compact View'!$A$6:$A$205,A104,'00 Compact View'!$B$6:$B$205,"&gt;="&amp;B104-'03 Mind Knobs'!$B$16+1,'00 Compact View'!$B$6:$B$205,"&lt;="&amp;B104),SUMIFS('00 Compact View'!$J$6:$J$205,'00 Compact View'!$A$6:$A$205,A104,'00 Compact View'!$B$6:$B$205,"&gt;="&amp;B104-'03 Mind Knobs'!$B$16+1,'00 Compact View'!$B$6:$B$205,"&lt;="&amp;B104),SUMIFS('00 Compact View'!$K$6:$K$205,'00 Compact View'!$A$6:$A$205,A104,'00 Compact View'!$B$6:$B$205,"&gt;="&amp;B104-'03 Mind Knobs'!$B$16+1,'00 Compact View'!$B$6:$B$205,"&lt;="&amp;B104),SUMIFS('00 Compact View'!$L$6:$L$205,'00 Compact View'!$A$6:$A$205,A104,'00 Compact View'!$B$6:$B$205,"&gt;="&amp;B104-'03 Mind Knobs'!$B$16+1,'00 Compact View'!$B$6:$B$205,"&lt;="&amp;B104))&gt;=MAX(1,ROUNDUP('03 Mind Knobs'!$B$16*(1-'03 Mind Knobs'!$B$8),0)))</x:f>
        <x:v>0</x:v>
      </x:c>
      <x:c r="M104" t="n">
        <x:f>--(OR(I104=1,J104=1,K104=1,L104=1))</x:f>
        <x:v>0</x:v>
      </x:c>
    </x:row>
    <x:row r="105">
      <x:c r="A105" t="n">
        <x:f>'00 Compact View'!A105</x:f>
        <x:v>5</x:v>
      </x:c>
      <x:c r="B105" t="n">
        <x:f>'00 Compact View'!B105</x:f>
        <x:v>20</x:v>
      </x:c>
      <x:c r="C105" s="12" t="n">
        <x:f>SUM('00 Compact View'!H105:L105)/5</x:f>
        <x:v>0</x:v>
      </x:c>
      <x:c r="D105" s="12" t="n">
        <x:f>SUM('00 Compact View'!M105:Q105)/5</x:f>
        <x:v>0</x:v>
      </x:c>
      <x:c r="E105" s="12" t="n">
        <x:f>'00 Compact View'!R105</x:f>
        <x:v>0</x:v>
      </x:c>
      <x:c r="F105" s="12" t="n">
        <x:f>'00 Compact View'!T105</x:f>
        <x:v>0</x:v>
      </x:c>
      <x:c r="G105" s="12" t="n">
        <x:f>'04 Resource Body'!$B$10</x:f>
        <x:v>0</x:v>
      </x:c>
      <x:c r="H105" t="n">
        <x:f>--(M105=0)</x:f>
        <x:v>1</x:v>
      </x:c>
      <x:c r="I105" t="n">
        <x:f>--(MIN(1,C105+D105+(E105*'03 Mind Knobs'!$B$17)+(F105*'03 Mind Knobs'!$B$18)+('03 Mind Knobs'!$B$7*F105))&gt;=MAX(0.15,0.35+(G105*'03 Mind Knobs'!$B$10)-('03 Mind Knobs'!$B$13*0.15)))</x:f>
        <x:v>0</x:v>
      </x:c>
      <x:c r="J105" t="n">
        <x:f>--(MIN(1,C105+D105+(E105*'03 Mind Knobs'!$B$17)+(F105*'03 Mind Knobs'!$B$18)+('03 Mind Knobs'!$B$7*F105))&gt;=MIN(0.95,'03 Mind Knobs'!$B$19+(G105*'03 Mind Knobs'!$B$10)-('03 Mind Knobs'!$B$13*0.10)))</x:f>
        <x:v>0</x:v>
      </x:c>
      <x:c r="K105" t="n">
        <x:f>--(AND(J105=1,OR(E105=1,F105=1)))</x:f>
        <x:v>0</x:v>
      </x:c>
      <x:c r="L105" t="n">
        <x:f>--(MAX(SUMIFS('00 Compact View'!$H$6:$H$205,'00 Compact View'!$A$6:$A$205,A105,'00 Compact View'!$B$6:$B$205,"&gt;="&amp;B105-'03 Mind Knobs'!$B$16+1,'00 Compact View'!$B$6:$B$205,"&lt;="&amp;B105),SUMIFS('00 Compact View'!$I$6:$I$205,'00 Compact View'!$A$6:$A$205,A105,'00 Compact View'!$B$6:$B$205,"&gt;="&amp;B105-'03 Mind Knobs'!$B$16+1,'00 Compact View'!$B$6:$B$205,"&lt;="&amp;B105),SUMIFS('00 Compact View'!$J$6:$J$205,'00 Compact View'!$A$6:$A$205,A105,'00 Compact View'!$B$6:$B$205,"&gt;="&amp;B105-'03 Mind Knobs'!$B$16+1,'00 Compact View'!$B$6:$B$205,"&lt;="&amp;B105),SUMIFS('00 Compact View'!$K$6:$K$205,'00 Compact View'!$A$6:$A$205,A105,'00 Compact View'!$B$6:$B$205,"&gt;="&amp;B105-'03 Mind Knobs'!$B$16+1,'00 Compact View'!$B$6:$B$205,"&lt;="&amp;B105),SUMIFS('00 Compact View'!$L$6:$L$205,'00 Compact View'!$A$6:$A$205,A105,'00 Compact View'!$B$6:$B$205,"&gt;="&amp;B105-'03 Mind Knobs'!$B$16+1,'00 Compact View'!$B$6:$B$205,"&lt;="&amp;B105))&gt;=MAX(1,ROUNDUP('03 Mind Knobs'!$B$16*(1-'03 Mind Knobs'!$B$8),0)))</x:f>
        <x:v>0</x:v>
      </x:c>
      <x:c r="M105" t="n">
        <x:f>--(OR(I105=1,J105=1,K105=1,L105=1))</x:f>
        <x:v>0</x:v>
      </x:c>
    </x:row>
    <x:row r="106">
      <x:c r="A106" t="n">
        <x:f>'00 Compact View'!A106</x:f>
        <x:v>6</x:v>
      </x:c>
      <x:c r="B106" t="n">
        <x:f>'00 Compact View'!B106</x:f>
        <x:v>1</x:v>
      </x:c>
      <x:c r="C106" s="12" t="n">
        <x:f>SUM('00 Compact View'!H106:L106)/5</x:f>
        <x:v>0</x:v>
      </x:c>
      <x:c r="D106" s="12" t="n">
        <x:f>SUM('00 Compact View'!M106:Q106)/5</x:f>
        <x:v>0</x:v>
      </x:c>
      <x:c r="E106" s="12" t="n">
        <x:f>'00 Compact View'!R106</x:f>
        <x:v>0</x:v>
      </x:c>
      <x:c r="F106" s="12" t="n">
        <x:f>'00 Compact View'!T106</x:f>
        <x:v>0</x:v>
      </x:c>
      <x:c r="G106" s="12" t="n">
        <x:f>'04 Resource Body'!$B$10</x:f>
        <x:v>0</x:v>
      </x:c>
      <x:c r="H106" t="n">
        <x:f>--(M106=0)</x:f>
        <x:v>1</x:v>
      </x:c>
      <x:c r="I106" t="n">
        <x:f>--(MIN(1,C106+D106+(E106*'03 Mind Knobs'!$B$17)+(F106*'03 Mind Knobs'!$B$18)+('03 Mind Knobs'!$B$7*F106))&gt;=MAX(0.15,0.35+(G106*'03 Mind Knobs'!$B$10)-('03 Mind Knobs'!$B$13*0.15)))</x:f>
        <x:v>0</x:v>
      </x:c>
      <x:c r="J106" t="n">
        <x:f>--(MIN(1,C106+D106+(E106*'03 Mind Knobs'!$B$17)+(F106*'03 Mind Knobs'!$B$18)+('03 Mind Knobs'!$B$7*F106))&gt;=MIN(0.95,'03 Mind Knobs'!$B$19+(G106*'03 Mind Knobs'!$B$10)-('03 Mind Knobs'!$B$13*0.10)))</x:f>
        <x:v>0</x:v>
      </x:c>
      <x:c r="K106" t="n">
        <x:f>--(AND(J106=1,OR(E106=1,F106=1)))</x:f>
        <x:v>0</x:v>
      </x:c>
      <x:c r="L106" t="n">
        <x:f>--(MAX(SUMIFS('00 Compact View'!$H$6:$H$205,'00 Compact View'!$A$6:$A$205,A106,'00 Compact View'!$B$6:$B$205,"&gt;="&amp;B106-'03 Mind Knobs'!$B$16+1,'00 Compact View'!$B$6:$B$205,"&lt;="&amp;B106),SUMIFS('00 Compact View'!$I$6:$I$205,'00 Compact View'!$A$6:$A$205,A106,'00 Compact View'!$B$6:$B$205,"&gt;="&amp;B106-'03 Mind Knobs'!$B$16+1,'00 Compact View'!$B$6:$B$205,"&lt;="&amp;B106),SUMIFS('00 Compact View'!$J$6:$J$205,'00 Compact View'!$A$6:$A$205,A106,'00 Compact View'!$B$6:$B$205,"&gt;="&amp;B106-'03 Mind Knobs'!$B$16+1,'00 Compact View'!$B$6:$B$205,"&lt;="&amp;B106),SUMIFS('00 Compact View'!$K$6:$K$205,'00 Compact View'!$A$6:$A$205,A106,'00 Compact View'!$B$6:$B$205,"&gt;="&amp;B106-'03 Mind Knobs'!$B$16+1,'00 Compact View'!$B$6:$B$205,"&lt;="&amp;B106),SUMIFS('00 Compact View'!$L$6:$L$205,'00 Compact View'!$A$6:$A$205,A106,'00 Compact View'!$B$6:$B$205,"&gt;="&amp;B106-'03 Mind Knobs'!$B$16+1,'00 Compact View'!$B$6:$B$205,"&lt;="&amp;B106))&gt;=MAX(1,ROUNDUP('03 Mind Knobs'!$B$16*(1-'03 Mind Knobs'!$B$8),0)))</x:f>
        <x:v>0</x:v>
      </x:c>
      <x:c r="M106" t="n">
        <x:f>--(OR(I106=1,J106=1,K106=1,L106=1))</x:f>
        <x:v>0</x:v>
      </x:c>
    </x:row>
    <x:row r="107">
      <x:c r="A107" t="n">
        <x:f>'00 Compact View'!A107</x:f>
        <x:v>6</x:v>
      </x:c>
      <x:c r="B107" t="n">
        <x:f>'00 Compact View'!B107</x:f>
        <x:v>2</x:v>
      </x:c>
      <x:c r="C107" s="12" t="n">
        <x:f>SUM('00 Compact View'!H107:L107)/5</x:f>
        <x:v>0</x:v>
      </x:c>
      <x:c r="D107" s="12" t="n">
        <x:f>SUM('00 Compact View'!M107:Q107)/5</x:f>
        <x:v>0</x:v>
      </x:c>
      <x:c r="E107" s="12" t="n">
        <x:f>'00 Compact View'!R107</x:f>
        <x:v>0</x:v>
      </x:c>
      <x:c r="F107" s="12" t="n">
        <x:f>'00 Compact View'!T107</x:f>
        <x:v>0</x:v>
      </x:c>
      <x:c r="G107" s="12" t="n">
        <x:f>'04 Resource Body'!$B$10</x:f>
        <x:v>0</x:v>
      </x:c>
      <x:c r="H107" t="n">
        <x:f>--(M107=0)</x:f>
        <x:v>1</x:v>
      </x:c>
      <x:c r="I107" t="n">
        <x:f>--(MIN(1,C107+D107+(E107*'03 Mind Knobs'!$B$17)+(F107*'03 Mind Knobs'!$B$18)+('03 Mind Knobs'!$B$7*F107))&gt;=MAX(0.15,0.35+(G107*'03 Mind Knobs'!$B$10)-('03 Mind Knobs'!$B$13*0.15)))</x:f>
        <x:v>0</x:v>
      </x:c>
      <x:c r="J107" t="n">
        <x:f>--(MIN(1,C107+D107+(E107*'03 Mind Knobs'!$B$17)+(F107*'03 Mind Knobs'!$B$18)+('03 Mind Knobs'!$B$7*F107))&gt;=MIN(0.95,'03 Mind Knobs'!$B$19+(G107*'03 Mind Knobs'!$B$10)-('03 Mind Knobs'!$B$13*0.10)))</x:f>
        <x:v>0</x:v>
      </x:c>
      <x:c r="K107" t="n">
        <x:f>--(AND(J107=1,OR(E107=1,F107=1)))</x:f>
        <x:v>0</x:v>
      </x:c>
      <x:c r="L107" t="n">
        <x:f>--(MAX(SUMIFS('00 Compact View'!$H$6:$H$205,'00 Compact View'!$A$6:$A$205,A107,'00 Compact View'!$B$6:$B$205,"&gt;="&amp;B107-'03 Mind Knobs'!$B$16+1,'00 Compact View'!$B$6:$B$205,"&lt;="&amp;B107),SUMIFS('00 Compact View'!$I$6:$I$205,'00 Compact View'!$A$6:$A$205,A107,'00 Compact View'!$B$6:$B$205,"&gt;="&amp;B107-'03 Mind Knobs'!$B$16+1,'00 Compact View'!$B$6:$B$205,"&lt;="&amp;B107),SUMIFS('00 Compact View'!$J$6:$J$205,'00 Compact View'!$A$6:$A$205,A107,'00 Compact View'!$B$6:$B$205,"&gt;="&amp;B107-'03 Mind Knobs'!$B$16+1,'00 Compact View'!$B$6:$B$205,"&lt;="&amp;B107),SUMIFS('00 Compact View'!$K$6:$K$205,'00 Compact View'!$A$6:$A$205,A107,'00 Compact View'!$B$6:$B$205,"&gt;="&amp;B107-'03 Mind Knobs'!$B$16+1,'00 Compact View'!$B$6:$B$205,"&lt;="&amp;B107),SUMIFS('00 Compact View'!$L$6:$L$205,'00 Compact View'!$A$6:$A$205,A107,'00 Compact View'!$B$6:$B$205,"&gt;="&amp;B107-'03 Mind Knobs'!$B$16+1,'00 Compact View'!$B$6:$B$205,"&lt;="&amp;B107))&gt;=MAX(1,ROUNDUP('03 Mind Knobs'!$B$16*(1-'03 Mind Knobs'!$B$8),0)))</x:f>
        <x:v>0</x:v>
      </x:c>
      <x:c r="M107" t="n">
        <x:f>--(OR(I107=1,J107=1,K107=1,L107=1))</x:f>
        <x:v>0</x:v>
      </x:c>
    </x:row>
    <x:row r="108">
      <x:c r="A108" t="n">
        <x:f>'00 Compact View'!A108</x:f>
        <x:v>6</x:v>
      </x:c>
      <x:c r="B108" t="n">
        <x:f>'00 Compact View'!B108</x:f>
        <x:v>3</x:v>
      </x:c>
      <x:c r="C108" s="12" t="n">
        <x:f>SUM('00 Compact View'!H108:L108)/5</x:f>
        <x:v>0</x:v>
      </x:c>
      <x:c r="D108" s="12" t="n">
        <x:f>SUM('00 Compact View'!M108:Q108)/5</x:f>
        <x:v>0</x:v>
      </x:c>
      <x:c r="E108" s="12" t="n">
        <x:f>'00 Compact View'!R108</x:f>
        <x:v>0</x:v>
      </x:c>
      <x:c r="F108" s="12" t="n">
        <x:f>'00 Compact View'!T108</x:f>
        <x:v>0</x:v>
      </x:c>
      <x:c r="G108" s="12" t="n">
        <x:f>'04 Resource Body'!$B$10</x:f>
        <x:v>0</x:v>
      </x:c>
      <x:c r="H108" t="n">
        <x:f>--(M108=0)</x:f>
        <x:v>1</x:v>
      </x:c>
      <x:c r="I108" t="n">
        <x:f>--(MIN(1,C108+D108+(E108*'03 Mind Knobs'!$B$17)+(F108*'03 Mind Knobs'!$B$18)+('03 Mind Knobs'!$B$7*F108))&gt;=MAX(0.15,0.35+(G108*'03 Mind Knobs'!$B$10)-('03 Mind Knobs'!$B$13*0.15)))</x:f>
        <x:v>0</x:v>
      </x:c>
      <x:c r="J108" t="n">
        <x:f>--(MIN(1,C108+D108+(E108*'03 Mind Knobs'!$B$17)+(F108*'03 Mind Knobs'!$B$18)+('03 Mind Knobs'!$B$7*F108))&gt;=MIN(0.95,'03 Mind Knobs'!$B$19+(G108*'03 Mind Knobs'!$B$10)-('03 Mind Knobs'!$B$13*0.10)))</x:f>
        <x:v>0</x:v>
      </x:c>
      <x:c r="K108" t="n">
        <x:f>--(AND(J108=1,OR(E108=1,F108=1)))</x:f>
        <x:v>0</x:v>
      </x:c>
      <x:c r="L108" t="n">
        <x:f>--(MAX(SUMIFS('00 Compact View'!$H$6:$H$205,'00 Compact View'!$A$6:$A$205,A108,'00 Compact View'!$B$6:$B$205,"&gt;="&amp;B108-'03 Mind Knobs'!$B$16+1,'00 Compact View'!$B$6:$B$205,"&lt;="&amp;B108),SUMIFS('00 Compact View'!$I$6:$I$205,'00 Compact View'!$A$6:$A$205,A108,'00 Compact View'!$B$6:$B$205,"&gt;="&amp;B108-'03 Mind Knobs'!$B$16+1,'00 Compact View'!$B$6:$B$205,"&lt;="&amp;B108),SUMIFS('00 Compact View'!$J$6:$J$205,'00 Compact View'!$A$6:$A$205,A108,'00 Compact View'!$B$6:$B$205,"&gt;="&amp;B108-'03 Mind Knobs'!$B$16+1,'00 Compact View'!$B$6:$B$205,"&lt;="&amp;B108),SUMIFS('00 Compact View'!$K$6:$K$205,'00 Compact View'!$A$6:$A$205,A108,'00 Compact View'!$B$6:$B$205,"&gt;="&amp;B108-'03 Mind Knobs'!$B$16+1,'00 Compact View'!$B$6:$B$205,"&lt;="&amp;B108),SUMIFS('00 Compact View'!$L$6:$L$205,'00 Compact View'!$A$6:$A$205,A108,'00 Compact View'!$B$6:$B$205,"&gt;="&amp;B108-'03 Mind Knobs'!$B$16+1,'00 Compact View'!$B$6:$B$205,"&lt;="&amp;B108))&gt;=MAX(1,ROUNDUP('03 Mind Knobs'!$B$16*(1-'03 Mind Knobs'!$B$8),0)))</x:f>
        <x:v>0</x:v>
      </x:c>
      <x:c r="M108" t="n">
        <x:f>--(OR(I108=1,J108=1,K108=1,L108=1))</x:f>
        <x:v>0</x:v>
      </x:c>
    </x:row>
    <x:row r="109">
      <x:c r="A109" t="n">
        <x:f>'00 Compact View'!A109</x:f>
        <x:v>6</x:v>
      </x:c>
      <x:c r="B109" t="n">
        <x:f>'00 Compact View'!B109</x:f>
        <x:v>4</x:v>
      </x:c>
      <x:c r="C109" s="12" t="n">
        <x:f>SUM('00 Compact View'!H109:L109)/5</x:f>
        <x:v>0</x:v>
      </x:c>
      <x:c r="D109" s="12" t="n">
        <x:f>SUM('00 Compact View'!M109:Q109)/5</x:f>
        <x:v>0</x:v>
      </x:c>
      <x:c r="E109" s="12" t="n">
        <x:f>'00 Compact View'!R109</x:f>
        <x:v>0</x:v>
      </x:c>
      <x:c r="F109" s="12" t="n">
        <x:f>'00 Compact View'!T109</x:f>
        <x:v>0</x:v>
      </x:c>
      <x:c r="G109" s="12" t="n">
        <x:f>'04 Resource Body'!$B$10</x:f>
        <x:v>0</x:v>
      </x:c>
      <x:c r="H109" t="n">
        <x:f>--(M109=0)</x:f>
        <x:v>1</x:v>
      </x:c>
      <x:c r="I109" t="n">
        <x:f>--(MIN(1,C109+D109+(E109*'03 Mind Knobs'!$B$17)+(F109*'03 Mind Knobs'!$B$18)+('03 Mind Knobs'!$B$7*F109))&gt;=MAX(0.15,0.35+(G109*'03 Mind Knobs'!$B$10)-('03 Mind Knobs'!$B$13*0.15)))</x:f>
        <x:v>0</x:v>
      </x:c>
      <x:c r="J109" t="n">
        <x:f>--(MIN(1,C109+D109+(E109*'03 Mind Knobs'!$B$17)+(F109*'03 Mind Knobs'!$B$18)+('03 Mind Knobs'!$B$7*F109))&gt;=MIN(0.95,'03 Mind Knobs'!$B$19+(G109*'03 Mind Knobs'!$B$10)-('03 Mind Knobs'!$B$13*0.10)))</x:f>
        <x:v>0</x:v>
      </x:c>
      <x:c r="K109" t="n">
        <x:f>--(AND(J109=1,OR(E109=1,F109=1)))</x:f>
        <x:v>0</x:v>
      </x:c>
      <x:c r="L109" t="n">
        <x:f>--(MAX(SUMIFS('00 Compact View'!$H$6:$H$205,'00 Compact View'!$A$6:$A$205,A109,'00 Compact View'!$B$6:$B$205,"&gt;="&amp;B109-'03 Mind Knobs'!$B$16+1,'00 Compact View'!$B$6:$B$205,"&lt;="&amp;B109),SUMIFS('00 Compact View'!$I$6:$I$205,'00 Compact View'!$A$6:$A$205,A109,'00 Compact View'!$B$6:$B$205,"&gt;="&amp;B109-'03 Mind Knobs'!$B$16+1,'00 Compact View'!$B$6:$B$205,"&lt;="&amp;B109),SUMIFS('00 Compact View'!$J$6:$J$205,'00 Compact View'!$A$6:$A$205,A109,'00 Compact View'!$B$6:$B$205,"&gt;="&amp;B109-'03 Mind Knobs'!$B$16+1,'00 Compact View'!$B$6:$B$205,"&lt;="&amp;B109),SUMIFS('00 Compact View'!$K$6:$K$205,'00 Compact View'!$A$6:$A$205,A109,'00 Compact View'!$B$6:$B$205,"&gt;="&amp;B109-'03 Mind Knobs'!$B$16+1,'00 Compact View'!$B$6:$B$205,"&lt;="&amp;B109),SUMIFS('00 Compact View'!$L$6:$L$205,'00 Compact View'!$A$6:$A$205,A109,'00 Compact View'!$B$6:$B$205,"&gt;="&amp;B109-'03 Mind Knobs'!$B$16+1,'00 Compact View'!$B$6:$B$205,"&lt;="&amp;B109))&gt;=MAX(1,ROUNDUP('03 Mind Knobs'!$B$16*(1-'03 Mind Knobs'!$B$8),0)))</x:f>
        <x:v>0</x:v>
      </x:c>
      <x:c r="M109" t="n">
        <x:f>--(OR(I109=1,J109=1,K109=1,L109=1))</x:f>
        <x:v>0</x:v>
      </x:c>
    </x:row>
    <x:row r="110">
      <x:c r="A110" t="n">
        <x:f>'00 Compact View'!A110</x:f>
        <x:v>6</x:v>
      </x:c>
      <x:c r="B110" t="n">
        <x:f>'00 Compact View'!B110</x:f>
        <x:v>5</x:v>
      </x:c>
      <x:c r="C110" s="12" t="n">
        <x:f>SUM('00 Compact View'!H110:L110)/5</x:f>
        <x:v>0.2</x:v>
      </x:c>
      <x:c r="D110" s="12" t="n">
        <x:f>SUM('00 Compact View'!M110:Q110)/5</x:f>
        <x:v>0</x:v>
      </x:c>
      <x:c r="E110" s="12" t="n">
        <x:f>'00 Compact View'!R110</x:f>
        <x:v>0</x:v>
      </x:c>
      <x:c r="F110" s="12" t="n">
        <x:f>'00 Compact View'!T110</x:f>
        <x:v>0</x:v>
      </x:c>
      <x:c r="G110" s="12" t="n">
        <x:f>'04 Resource Body'!$B$10</x:f>
        <x:v>0</x:v>
      </x:c>
      <x:c r="H110" t="n">
        <x:f>--(M110=0)</x:f>
        <x:v>1</x:v>
      </x:c>
      <x:c r="I110" t="n">
        <x:f>--(MIN(1,C110+D110+(E110*'03 Mind Knobs'!$B$17)+(F110*'03 Mind Knobs'!$B$18)+('03 Mind Knobs'!$B$7*F110))&gt;=MAX(0.15,0.35+(G110*'03 Mind Knobs'!$B$10)-('03 Mind Knobs'!$B$13*0.15)))</x:f>
        <x:v>0</x:v>
      </x:c>
      <x:c r="J110" t="n">
        <x:f>--(MIN(1,C110+D110+(E110*'03 Mind Knobs'!$B$17)+(F110*'03 Mind Knobs'!$B$18)+('03 Mind Knobs'!$B$7*F110))&gt;=MIN(0.95,'03 Mind Knobs'!$B$19+(G110*'03 Mind Knobs'!$B$10)-('03 Mind Knobs'!$B$13*0.10)))</x:f>
        <x:v>0</x:v>
      </x:c>
      <x:c r="K110" t="n">
        <x:f>--(AND(J110=1,OR(E110=1,F110=1)))</x:f>
        <x:v>0</x:v>
      </x:c>
      <x:c r="L110" t="n">
        <x:f>--(MAX(SUMIFS('00 Compact View'!$H$6:$H$205,'00 Compact View'!$A$6:$A$205,A110,'00 Compact View'!$B$6:$B$205,"&gt;="&amp;B110-'03 Mind Knobs'!$B$16+1,'00 Compact View'!$B$6:$B$205,"&lt;="&amp;B110),SUMIFS('00 Compact View'!$I$6:$I$205,'00 Compact View'!$A$6:$A$205,A110,'00 Compact View'!$B$6:$B$205,"&gt;="&amp;B110-'03 Mind Knobs'!$B$16+1,'00 Compact View'!$B$6:$B$205,"&lt;="&amp;B110),SUMIFS('00 Compact View'!$J$6:$J$205,'00 Compact View'!$A$6:$A$205,A110,'00 Compact View'!$B$6:$B$205,"&gt;="&amp;B110-'03 Mind Knobs'!$B$16+1,'00 Compact View'!$B$6:$B$205,"&lt;="&amp;B110),SUMIFS('00 Compact View'!$K$6:$K$205,'00 Compact View'!$A$6:$A$205,A110,'00 Compact View'!$B$6:$B$205,"&gt;="&amp;B110-'03 Mind Knobs'!$B$16+1,'00 Compact View'!$B$6:$B$205,"&lt;="&amp;B110),SUMIFS('00 Compact View'!$L$6:$L$205,'00 Compact View'!$A$6:$A$205,A110,'00 Compact View'!$B$6:$B$205,"&gt;="&amp;B110-'03 Mind Knobs'!$B$16+1,'00 Compact View'!$B$6:$B$205,"&lt;="&amp;B110))&gt;=MAX(1,ROUNDUP('03 Mind Knobs'!$B$16*(1-'03 Mind Knobs'!$B$8),0)))</x:f>
        <x:v>0</x:v>
      </x:c>
      <x:c r="M110" t="n">
        <x:f>--(OR(I110=1,J110=1,K110=1,L110=1))</x:f>
        <x:v>0</x:v>
      </x:c>
    </x:row>
    <x:row r="111">
      <x:c r="A111" t="n">
        <x:f>'00 Compact View'!A111</x:f>
        <x:v>6</x:v>
      </x:c>
      <x:c r="B111" t="n">
        <x:f>'00 Compact View'!B111</x:f>
        <x:v>6</x:v>
      </x:c>
      <x:c r="C111" s="12" t="n">
        <x:f>SUM('00 Compact View'!H111:L111)/5</x:f>
        <x:v>0</x:v>
      </x:c>
      <x:c r="D111" s="12" t="n">
        <x:f>SUM('00 Compact View'!M111:Q111)/5</x:f>
        <x:v>0.2</x:v>
      </x:c>
      <x:c r="E111" s="12" t="n">
        <x:f>'00 Compact View'!R111</x:f>
        <x:v>0</x:v>
      </x:c>
      <x:c r="F111" s="12" t="n">
        <x:f>'00 Compact View'!T111</x:f>
        <x:v>1</x:v>
      </x:c>
      <x:c r="G111" s="12" t="n">
        <x:f>'04 Resource Body'!$B$10</x:f>
        <x:v>0</x:v>
      </x:c>
      <x:c r="H111" t="n">
        <x:f>--(M111=0)</x:f>
        <x:v>0</x:v>
      </x:c>
      <x:c r="I111" t="n">
        <x:f>--(MIN(1,C111+D111+(E111*'03 Mind Knobs'!$B$17)+(F111*'03 Mind Knobs'!$B$18)+('03 Mind Knobs'!$B$7*F111))&gt;=MAX(0.15,0.35+(G111*'03 Mind Knobs'!$B$10)-('03 Mind Knobs'!$B$13*0.15)))</x:f>
        <x:v>1</x:v>
      </x:c>
      <x:c r="J111" t="n">
        <x:f>--(MIN(1,C111+D111+(E111*'03 Mind Knobs'!$B$17)+(F111*'03 Mind Knobs'!$B$18)+('03 Mind Knobs'!$B$7*F111))&gt;=MIN(0.95,'03 Mind Knobs'!$B$19+(G111*'03 Mind Knobs'!$B$10)-('03 Mind Knobs'!$B$13*0.10)))</x:f>
        <x:v>1</x:v>
      </x:c>
      <x:c r="K111" t="n">
        <x:f>--(AND(J111=1,OR(E111=1,F111=1)))</x:f>
        <x:v>1</x:v>
      </x:c>
      <x:c r="L111" t="n">
        <x:f>--(MAX(SUMIFS('00 Compact View'!$H$6:$H$205,'00 Compact View'!$A$6:$A$205,A111,'00 Compact View'!$B$6:$B$205,"&gt;="&amp;B111-'03 Mind Knobs'!$B$16+1,'00 Compact View'!$B$6:$B$205,"&lt;="&amp;B111),SUMIFS('00 Compact View'!$I$6:$I$205,'00 Compact View'!$A$6:$A$205,A111,'00 Compact View'!$B$6:$B$205,"&gt;="&amp;B111-'03 Mind Knobs'!$B$16+1,'00 Compact View'!$B$6:$B$205,"&lt;="&amp;B111),SUMIFS('00 Compact View'!$J$6:$J$205,'00 Compact View'!$A$6:$A$205,A111,'00 Compact View'!$B$6:$B$205,"&gt;="&amp;B111-'03 Mind Knobs'!$B$16+1,'00 Compact View'!$B$6:$B$205,"&lt;="&amp;B111),SUMIFS('00 Compact View'!$K$6:$K$205,'00 Compact View'!$A$6:$A$205,A111,'00 Compact View'!$B$6:$B$205,"&gt;="&amp;B111-'03 Mind Knobs'!$B$16+1,'00 Compact View'!$B$6:$B$205,"&lt;="&amp;B111),SUMIFS('00 Compact View'!$L$6:$L$205,'00 Compact View'!$A$6:$A$205,A111,'00 Compact View'!$B$6:$B$205,"&gt;="&amp;B111-'03 Mind Knobs'!$B$16+1,'00 Compact View'!$B$6:$B$205,"&lt;="&amp;B111))&gt;=MAX(1,ROUNDUP('03 Mind Knobs'!$B$16*(1-'03 Mind Knobs'!$B$8),0)))</x:f>
        <x:v>0</x:v>
      </x:c>
      <x:c r="M111" t="n">
        <x:f>--(OR(I111=1,J111=1,K111=1,L111=1))</x:f>
        <x:v>1</x:v>
      </x:c>
    </x:row>
    <x:row r="112">
      <x:c r="A112" t="n">
        <x:f>'00 Compact View'!A112</x:f>
        <x:v>6</x:v>
      </x:c>
      <x:c r="B112" t="n">
        <x:f>'00 Compact View'!B112</x:f>
        <x:v>7</x:v>
      </x:c>
      <x:c r="C112" s="12" t="n">
        <x:f>SUM('00 Compact View'!H112:L112)/5</x:f>
        <x:v>0</x:v>
      </x:c>
      <x:c r="D112" s="12" t="n">
        <x:f>SUM('00 Compact View'!M112:Q112)/5</x:f>
        <x:v>0</x:v>
      </x:c>
      <x:c r="E112" s="12" t="n">
        <x:f>'00 Compact View'!R112</x:f>
        <x:v>0</x:v>
      </x:c>
      <x:c r="F112" s="12" t="n">
        <x:f>'00 Compact View'!T112</x:f>
        <x:v>1</x:v>
      </x:c>
      <x:c r="G112" s="12" t="n">
        <x:f>'04 Resource Body'!$B$10</x:f>
        <x:v>0</x:v>
      </x:c>
      <x:c r="H112" t="n">
        <x:f>--(M112=0)</x:f>
        <x:v>0</x:v>
      </x:c>
      <x:c r="I112" t="n">
        <x:f>--(MIN(1,C112+D112+(E112*'03 Mind Knobs'!$B$17)+(F112*'03 Mind Knobs'!$B$18)+('03 Mind Knobs'!$B$7*F112))&gt;=MAX(0.15,0.35+(G112*'03 Mind Knobs'!$B$10)-('03 Mind Knobs'!$B$13*0.15)))</x:f>
        <x:v>1</x:v>
      </x:c>
      <x:c r="J112" t="n">
        <x:f>--(MIN(1,C112+D112+(E112*'03 Mind Knobs'!$B$17)+(F112*'03 Mind Knobs'!$B$18)+('03 Mind Knobs'!$B$7*F112))&gt;=MIN(0.95,'03 Mind Knobs'!$B$19+(G112*'03 Mind Knobs'!$B$10)-('03 Mind Knobs'!$B$13*0.10)))</x:f>
        <x:v>1</x:v>
      </x:c>
      <x:c r="K112" t="n">
        <x:f>--(AND(J112=1,OR(E112=1,F112=1)))</x:f>
        <x:v>1</x:v>
      </x:c>
      <x:c r="L112" t="n">
        <x:f>--(MAX(SUMIFS('00 Compact View'!$H$6:$H$205,'00 Compact View'!$A$6:$A$205,A112,'00 Compact View'!$B$6:$B$205,"&gt;="&amp;B112-'03 Mind Knobs'!$B$16+1,'00 Compact View'!$B$6:$B$205,"&lt;="&amp;B112),SUMIFS('00 Compact View'!$I$6:$I$205,'00 Compact View'!$A$6:$A$205,A112,'00 Compact View'!$B$6:$B$205,"&gt;="&amp;B112-'03 Mind Knobs'!$B$16+1,'00 Compact View'!$B$6:$B$205,"&lt;="&amp;B112),SUMIFS('00 Compact View'!$J$6:$J$205,'00 Compact View'!$A$6:$A$205,A112,'00 Compact View'!$B$6:$B$205,"&gt;="&amp;B112-'03 Mind Knobs'!$B$16+1,'00 Compact View'!$B$6:$B$205,"&lt;="&amp;B112),SUMIFS('00 Compact View'!$K$6:$K$205,'00 Compact View'!$A$6:$A$205,A112,'00 Compact View'!$B$6:$B$205,"&gt;="&amp;B112-'03 Mind Knobs'!$B$16+1,'00 Compact View'!$B$6:$B$205,"&lt;="&amp;B112),SUMIFS('00 Compact View'!$L$6:$L$205,'00 Compact View'!$A$6:$A$205,A112,'00 Compact View'!$B$6:$B$205,"&gt;="&amp;B112-'03 Mind Knobs'!$B$16+1,'00 Compact View'!$B$6:$B$205,"&lt;="&amp;B112))&gt;=MAX(1,ROUNDUP('03 Mind Knobs'!$B$16*(1-'03 Mind Knobs'!$B$8),0)))</x:f>
        <x:v>0</x:v>
      </x:c>
      <x:c r="M112" t="n">
        <x:f>--(OR(I112=1,J112=1,K112=1,L112=1))</x:f>
        <x:v>1</x:v>
      </x:c>
    </x:row>
    <x:row r="113">
      <x:c r="A113" t="n">
        <x:f>'00 Compact View'!A113</x:f>
        <x:v>6</x:v>
      </x:c>
      <x:c r="B113" t="n">
        <x:f>'00 Compact View'!B113</x:f>
        <x:v>8</x:v>
      </x:c>
      <x:c r="C113" s="12" t="n">
        <x:f>SUM('00 Compact View'!H113:L113)/5</x:f>
        <x:v>0</x:v>
      </x:c>
      <x:c r="D113" s="12" t="n">
        <x:f>SUM('00 Compact View'!M113:Q113)/5</x:f>
        <x:v>0</x:v>
      </x:c>
      <x:c r="E113" s="12" t="n">
        <x:f>'00 Compact View'!R113</x:f>
        <x:v>0</x:v>
      </x:c>
      <x:c r="F113" s="12" t="n">
        <x:f>'00 Compact View'!T113</x:f>
        <x:v>0</x:v>
      </x:c>
      <x:c r="G113" s="12" t="n">
        <x:f>'04 Resource Body'!$B$10</x:f>
        <x:v>0</x:v>
      </x:c>
      <x:c r="H113" t="n">
        <x:f>--(M113=0)</x:f>
        <x:v>1</x:v>
      </x:c>
      <x:c r="I113" t="n">
        <x:f>--(MIN(1,C113+D113+(E113*'03 Mind Knobs'!$B$17)+(F113*'03 Mind Knobs'!$B$18)+('03 Mind Knobs'!$B$7*F113))&gt;=MAX(0.15,0.35+(G113*'03 Mind Knobs'!$B$10)-('03 Mind Knobs'!$B$13*0.15)))</x:f>
        <x:v>0</x:v>
      </x:c>
      <x:c r="J113" t="n">
        <x:f>--(MIN(1,C113+D113+(E113*'03 Mind Knobs'!$B$17)+(F113*'03 Mind Knobs'!$B$18)+('03 Mind Knobs'!$B$7*F113))&gt;=MIN(0.95,'03 Mind Knobs'!$B$19+(G113*'03 Mind Knobs'!$B$10)-('03 Mind Knobs'!$B$13*0.10)))</x:f>
        <x:v>0</x:v>
      </x:c>
      <x:c r="K113" t="n">
        <x:f>--(AND(J113=1,OR(E113=1,F113=1)))</x:f>
        <x:v>0</x:v>
      </x:c>
      <x:c r="L113" t="n">
        <x:f>--(MAX(SUMIFS('00 Compact View'!$H$6:$H$205,'00 Compact View'!$A$6:$A$205,A113,'00 Compact View'!$B$6:$B$205,"&gt;="&amp;B113-'03 Mind Knobs'!$B$16+1,'00 Compact View'!$B$6:$B$205,"&lt;="&amp;B113),SUMIFS('00 Compact View'!$I$6:$I$205,'00 Compact View'!$A$6:$A$205,A113,'00 Compact View'!$B$6:$B$205,"&gt;="&amp;B113-'03 Mind Knobs'!$B$16+1,'00 Compact View'!$B$6:$B$205,"&lt;="&amp;B113),SUMIFS('00 Compact View'!$J$6:$J$205,'00 Compact View'!$A$6:$A$205,A113,'00 Compact View'!$B$6:$B$205,"&gt;="&amp;B113-'03 Mind Knobs'!$B$16+1,'00 Compact View'!$B$6:$B$205,"&lt;="&amp;B113),SUMIFS('00 Compact View'!$K$6:$K$205,'00 Compact View'!$A$6:$A$205,A113,'00 Compact View'!$B$6:$B$205,"&gt;="&amp;B113-'03 Mind Knobs'!$B$16+1,'00 Compact View'!$B$6:$B$205,"&lt;="&amp;B113),SUMIFS('00 Compact View'!$L$6:$L$205,'00 Compact View'!$A$6:$A$205,A113,'00 Compact View'!$B$6:$B$205,"&gt;="&amp;B113-'03 Mind Knobs'!$B$16+1,'00 Compact View'!$B$6:$B$205,"&lt;="&amp;B113))&gt;=MAX(1,ROUNDUP('03 Mind Knobs'!$B$16*(1-'03 Mind Knobs'!$B$8),0)))</x:f>
        <x:v>0</x:v>
      </x:c>
      <x:c r="M113" t="n">
        <x:f>--(OR(I113=1,J113=1,K113=1,L113=1))</x:f>
        <x:v>0</x:v>
      </x:c>
    </x:row>
    <x:row r="114">
      <x:c r="A114" t="n">
        <x:f>'00 Compact View'!A114</x:f>
        <x:v>6</x:v>
      </x:c>
      <x:c r="B114" t="n">
        <x:f>'00 Compact View'!B114</x:f>
        <x:v>9</x:v>
      </x:c>
      <x:c r="C114" s="12" t="n">
        <x:f>SUM('00 Compact View'!H114:L114)/5</x:f>
        <x:v>0</x:v>
      </x:c>
      <x:c r="D114" s="12" t="n">
        <x:f>SUM('00 Compact View'!M114:Q114)/5</x:f>
        <x:v>0.2</x:v>
      </x:c>
      <x:c r="E114" s="12" t="n">
        <x:f>'00 Compact View'!R114</x:f>
        <x:v>0</x:v>
      </x:c>
      <x:c r="F114" s="12" t="n">
        <x:f>'00 Compact View'!T114</x:f>
        <x:v>1</x:v>
      </x:c>
      <x:c r="G114" s="12" t="n">
        <x:f>'04 Resource Body'!$B$10</x:f>
        <x:v>0</x:v>
      </x:c>
      <x:c r="H114" t="n">
        <x:f>--(M114=0)</x:f>
        <x:v>0</x:v>
      </x:c>
      <x:c r="I114" t="n">
        <x:f>--(MIN(1,C114+D114+(E114*'03 Mind Knobs'!$B$17)+(F114*'03 Mind Knobs'!$B$18)+('03 Mind Knobs'!$B$7*F114))&gt;=MAX(0.15,0.35+(G114*'03 Mind Knobs'!$B$10)-('03 Mind Knobs'!$B$13*0.15)))</x:f>
        <x:v>1</x:v>
      </x:c>
      <x:c r="J114" t="n">
        <x:f>--(MIN(1,C114+D114+(E114*'03 Mind Knobs'!$B$17)+(F114*'03 Mind Knobs'!$B$18)+('03 Mind Knobs'!$B$7*F114))&gt;=MIN(0.95,'03 Mind Knobs'!$B$19+(G114*'03 Mind Knobs'!$B$10)-('03 Mind Knobs'!$B$13*0.10)))</x:f>
        <x:v>1</x:v>
      </x:c>
      <x:c r="K114" t="n">
        <x:f>--(AND(J114=1,OR(E114=1,F114=1)))</x:f>
        <x:v>1</x:v>
      </x:c>
      <x:c r="L114" t="n">
        <x:f>--(MAX(SUMIFS('00 Compact View'!$H$6:$H$205,'00 Compact View'!$A$6:$A$205,A114,'00 Compact View'!$B$6:$B$205,"&gt;="&amp;B114-'03 Mind Knobs'!$B$16+1,'00 Compact View'!$B$6:$B$205,"&lt;="&amp;B114),SUMIFS('00 Compact View'!$I$6:$I$205,'00 Compact View'!$A$6:$A$205,A114,'00 Compact View'!$B$6:$B$205,"&gt;="&amp;B114-'03 Mind Knobs'!$B$16+1,'00 Compact View'!$B$6:$B$205,"&lt;="&amp;B114),SUMIFS('00 Compact View'!$J$6:$J$205,'00 Compact View'!$A$6:$A$205,A114,'00 Compact View'!$B$6:$B$205,"&gt;="&amp;B114-'03 Mind Knobs'!$B$16+1,'00 Compact View'!$B$6:$B$205,"&lt;="&amp;B114),SUMIFS('00 Compact View'!$K$6:$K$205,'00 Compact View'!$A$6:$A$205,A114,'00 Compact View'!$B$6:$B$205,"&gt;="&amp;B114-'03 Mind Knobs'!$B$16+1,'00 Compact View'!$B$6:$B$205,"&lt;="&amp;B114),SUMIFS('00 Compact View'!$L$6:$L$205,'00 Compact View'!$A$6:$A$205,A114,'00 Compact View'!$B$6:$B$205,"&gt;="&amp;B114-'03 Mind Knobs'!$B$16+1,'00 Compact View'!$B$6:$B$205,"&lt;="&amp;B114))&gt;=MAX(1,ROUNDUP('03 Mind Knobs'!$B$16*(1-'03 Mind Knobs'!$B$8),0)))</x:f>
        <x:v>0</x:v>
      </x:c>
      <x:c r="M114" t="n">
        <x:f>--(OR(I114=1,J114=1,K114=1,L114=1))</x:f>
        <x:v>1</x:v>
      </x:c>
    </x:row>
    <x:row r="115">
      <x:c r="A115" t="n">
        <x:f>'00 Compact View'!A115</x:f>
        <x:v>6</x:v>
      </x:c>
      <x:c r="B115" t="n">
        <x:f>'00 Compact View'!B115</x:f>
        <x:v>10</x:v>
      </x:c>
      <x:c r="C115" s="12" t="n">
        <x:f>SUM('00 Compact View'!H115:L115)/5</x:f>
        <x:v>0</x:v>
      </x:c>
      <x:c r="D115" s="12" t="n">
        <x:f>SUM('00 Compact View'!M115:Q115)/5</x:f>
        <x:v>0.4</x:v>
      </x:c>
      <x:c r="E115" s="12" t="n">
        <x:f>'00 Compact View'!R115</x:f>
        <x:v>1</x:v>
      </x:c>
      <x:c r="F115" s="12" t="n">
        <x:f>'00 Compact View'!T115</x:f>
        <x:v>1</x:v>
      </x:c>
      <x:c r="G115" s="12" t="n">
        <x:f>'04 Resource Body'!$B$10</x:f>
        <x:v>0</x:v>
      </x:c>
      <x:c r="H115" t="n">
        <x:f>--(M115=0)</x:f>
        <x:v>0</x:v>
      </x:c>
      <x:c r="I115" t="n">
        <x:f>--(MIN(1,C115+D115+(E115*'03 Mind Knobs'!$B$17)+(F115*'03 Mind Knobs'!$B$18)+('03 Mind Knobs'!$B$7*F115))&gt;=MAX(0.15,0.35+(G115*'03 Mind Knobs'!$B$10)-('03 Mind Knobs'!$B$13*0.15)))</x:f>
        <x:v>1</x:v>
      </x:c>
      <x:c r="J115" t="n">
        <x:f>--(MIN(1,C115+D115+(E115*'03 Mind Knobs'!$B$17)+(F115*'03 Mind Knobs'!$B$18)+('03 Mind Knobs'!$B$7*F115))&gt;=MIN(0.95,'03 Mind Knobs'!$B$19+(G115*'03 Mind Knobs'!$B$10)-('03 Mind Knobs'!$B$13*0.10)))</x:f>
        <x:v>1</x:v>
      </x:c>
      <x:c r="K115" t="n">
        <x:f>--(AND(J115=1,OR(E115=1,F115=1)))</x:f>
        <x:v>1</x:v>
      </x:c>
      <x:c r="L115" t="n">
        <x:f>--(MAX(SUMIFS('00 Compact View'!$H$6:$H$205,'00 Compact View'!$A$6:$A$205,A115,'00 Compact View'!$B$6:$B$205,"&gt;="&amp;B115-'03 Mind Knobs'!$B$16+1,'00 Compact View'!$B$6:$B$205,"&lt;="&amp;B115),SUMIFS('00 Compact View'!$I$6:$I$205,'00 Compact View'!$A$6:$A$205,A115,'00 Compact View'!$B$6:$B$205,"&gt;="&amp;B115-'03 Mind Knobs'!$B$16+1,'00 Compact View'!$B$6:$B$205,"&lt;="&amp;B115),SUMIFS('00 Compact View'!$J$6:$J$205,'00 Compact View'!$A$6:$A$205,A115,'00 Compact View'!$B$6:$B$205,"&gt;="&amp;B115-'03 Mind Knobs'!$B$16+1,'00 Compact View'!$B$6:$B$205,"&lt;="&amp;B115),SUMIFS('00 Compact View'!$K$6:$K$205,'00 Compact View'!$A$6:$A$205,A115,'00 Compact View'!$B$6:$B$205,"&gt;="&amp;B115-'03 Mind Knobs'!$B$16+1,'00 Compact View'!$B$6:$B$205,"&lt;="&amp;B115),SUMIFS('00 Compact View'!$L$6:$L$205,'00 Compact View'!$A$6:$A$205,A115,'00 Compact View'!$B$6:$B$205,"&gt;="&amp;B115-'03 Mind Knobs'!$B$16+1,'00 Compact View'!$B$6:$B$205,"&lt;="&amp;B115))&gt;=MAX(1,ROUNDUP('03 Mind Knobs'!$B$16*(1-'03 Mind Knobs'!$B$8),0)))</x:f>
        <x:v>0</x:v>
      </x:c>
      <x:c r="M115" t="n">
        <x:f>--(OR(I115=1,J115=1,K115=1,L115=1))</x:f>
        <x:v>1</x:v>
      </x:c>
    </x:row>
    <x:row r="116">
      <x:c r="A116" t="n">
        <x:f>'00 Compact View'!A116</x:f>
        <x:v>6</x:v>
      </x:c>
      <x:c r="B116" t="n">
        <x:f>'00 Compact View'!B116</x:f>
        <x:v>11</x:v>
      </x:c>
      <x:c r="C116" s="12" t="n">
        <x:f>SUM('00 Compact View'!H116:L116)/5</x:f>
        <x:v>0</x:v>
      </x:c>
      <x:c r="D116" s="12" t="n">
        <x:f>SUM('00 Compact View'!M116:Q116)/5</x:f>
        <x:v>0</x:v>
      </x:c>
      <x:c r="E116" s="12" t="n">
        <x:f>'00 Compact View'!R116</x:f>
        <x:v>0</x:v>
      </x:c>
      <x:c r="F116" s="12" t="n">
        <x:f>'00 Compact View'!T116</x:f>
        <x:v>1</x:v>
      </x:c>
      <x:c r="G116" s="12" t="n">
        <x:f>'04 Resource Body'!$B$10</x:f>
        <x:v>0</x:v>
      </x:c>
      <x:c r="H116" t="n">
        <x:f>--(M116=0)</x:f>
        <x:v>0</x:v>
      </x:c>
      <x:c r="I116" t="n">
        <x:f>--(MIN(1,C116+D116+(E116*'03 Mind Knobs'!$B$17)+(F116*'03 Mind Knobs'!$B$18)+('03 Mind Knobs'!$B$7*F116))&gt;=MAX(0.15,0.35+(G116*'03 Mind Knobs'!$B$10)-('03 Mind Knobs'!$B$13*0.15)))</x:f>
        <x:v>1</x:v>
      </x:c>
      <x:c r="J116" t="n">
        <x:f>--(MIN(1,C116+D116+(E116*'03 Mind Knobs'!$B$17)+(F116*'03 Mind Knobs'!$B$18)+('03 Mind Knobs'!$B$7*F116))&gt;=MIN(0.95,'03 Mind Knobs'!$B$19+(G116*'03 Mind Knobs'!$B$10)-('03 Mind Knobs'!$B$13*0.10)))</x:f>
        <x:v>1</x:v>
      </x:c>
      <x:c r="K116" t="n">
        <x:f>--(AND(J116=1,OR(E116=1,F116=1)))</x:f>
        <x:v>1</x:v>
      </x:c>
      <x:c r="L116" t="n">
        <x:f>--(MAX(SUMIFS('00 Compact View'!$H$6:$H$205,'00 Compact View'!$A$6:$A$205,A116,'00 Compact View'!$B$6:$B$205,"&gt;="&amp;B116-'03 Mind Knobs'!$B$16+1,'00 Compact View'!$B$6:$B$205,"&lt;="&amp;B116),SUMIFS('00 Compact View'!$I$6:$I$205,'00 Compact View'!$A$6:$A$205,A116,'00 Compact View'!$B$6:$B$205,"&gt;="&amp;B116-'03 Mind Knobs'!$B$16+1,'00 Compact View'!$B$6:$B$205,"&lt;="&amp;B116),SUMIFS('00 Compact View'!$J$6:$J$205,'00 Compact View'!$A$6:$A$205,A116,'00 Compact View'!$B$6:$B$205,"&gt;="&amp;B116-'03 Mind Knobs'!$B$16+1,'00 Compact View'!$B$6:$B$205,"&lt;="&amp;B116),SUMIFS('00 Compact View'!$K$6:$K$205,'00 Compact View'!$A$6:$A$205,A116,'00 Compact View'!$B$6:$B$205,"&gt;="&amp;B116-'03 Mind Knobs'!$B$16+1,'00 Compact View'!$B$6:$B$205,"&lt;="&amp;B116),SUMIFS('00 Compact View'!$L$6:$L$205,'00 Compact View'!$A$6:$A$205,A116,'00 Compact View'!$B$6:$B$205,"&gt;="&amp;B116-'03 Mind Knobs'!$B$16+1,'00 Compact View'!$B$6:$B$205,"&lt;="&amp;B116))&gt;=MAX(1,ROUNDUP('03 Mind Knobs'!$B$16*(1-'03 Mind Knobs'!$B$8),0)))</x:f>
        <x:v>0</x:v>
      </x:c>
      <x:c r="M116" t="n">
        <x:f>--(OR(I116=1,J116=1,K116=1,L116=1))</x:f>
        <x:v>1</x:v>
      </x:c>
    </x:row>
    <x:row r="117">
      <x:c r="A117" t="n">
        <x:f>'00 Compact View'!A117</x:f>
        <x:v>6</x:v>
      </x:c>
      <x:c r="B117" t="n">
        <x:f>'00 Compact View'!B117</x:f>
        <x:v>12</x:v>
      </x:c>
      <x:c r="C117" s="12" t="n">
        <x:f>SUM('00 Compact View'!H117:L117)/5</x:f>
        <x:v>0</x:v>
      </x:c>
      <x:c r="D117" s="12" t="n">
        <x:f>SUM('00 Compact View'!M117:Q117)/5</x:f>
        <x:v>0</x:v>
      </x:c>
      <x:c r="E117" s="12" t="n">
        <x:f>'00 Compact View'!R117</x:f>
        <x:v>0</x:v>
      </x:c>
      <x:c r="F117" s="12" t="n">
        <x:f>'00 Compact View'!T117</x:f>
        <x:v>0</x:v>
      </x:c>
      <x:c r="G117" s="12" t="n">
        <x:f>'04 Resource Body'!$B$10</x:f>
        <x:v>0</x:v>
      </x:c>
      <x:c r="H117" t="n">
        <x:f>--(M117=0)</x:f>
        <x:v>1</x:v>
      </x:c>
      <x:c r="I117" t="n">
        <x:f>--(MIN(1,C117+D117+(E117*'03 Mind Knobs'!$B$17)+(F117*'03 Mind Knobs'!$B$18)+('03 Mind Knobs'!$B$7*F117))&gt;=MAX(0.15,0.35+(G117*'03 Mind Knobs'!$B$10)-('03 Mind Knobs'!$B$13*0.15)))</x:f>
        <x:v>0</x:v>
      </x:c>
      <x:c r="J117" t="n">
        <x:f>--(MIN(1,C117+D117+(E117*'03 Mind Knobs'!$B$17)+(F117*'03 Mind Knobs'!$B$18)+('03 Mind Knobs'!$B$7*F117))&gt;=MIN(0.95,'03 Mind Knobs'!$B$19+(G117*'03 Mind Knobs'!$B$10)-('03 Mind Knobs'!$B$13*0.10)))</x:f>
        <x:v>0</x:v>
      </x:c>
      <x:c r="K117" t="n">
        <x:f>--(AND(J117=1,OR(E117=1,F117=1)))</x:f>
        <x:v>0</x:v>
      </x:c>
      <x:c r="L117" t="n">
        <x:f>--(MAX(SUMIFS('00 Compact View'!$H$6:$H$205,'00 Compact View'!$A$6:$A$205,A117,'00 Compact View'!$B$6:$B$205,"&gt;="&amp;B117-'03 Mind Knobs'!$B$16+1,'00 Compact View'!$B$6:$B$205,"&lt;="&amp;B117),SUMIFS('00 Compact View'!$I$6:$I$205,'00 Compact View'!$A$6:$A$205,A117,'00 Compact View'!$B$6:$B$205,"&gt;="&amp;B117-'03 Mind Knobs'!$B$16+1,'00 Compact View'!$B$6:$B$205,"&lt;="&amp;B117),SUMIFS('00 Compact View'!$J$6:$J$205,'00 Compact View'!$A$6:$A$205,A117,'00 Compact View'!$B$6:$B$205,"&gt;="&amp;B117-'03 Mind Knobs'!$B$16+1,'00 Compact View'!$B$6:$B$205,"&lt;="&amp;B117),SUMIFS('00 Compact View'!$K$6:$K$205,'00 Compact View'!$A$6:$A$205,A117,'00 Compact View'!$B$6:$B$205,"&gt;="&amp;B117-'03 Mind Knobs'!$B$16+1,'00 Compact View'!$B$6:$B$205,"&lt;="&amp;B117),SUMIFS('00 Compact View'!$L$6:$L$205,'00 Compact View'!$A$6:$A$205,A117,'00 Compact View'!$B$6:$B$205,"&gt;="&amp;B117-'03 Mind Knobs'!$B$16+1,'00 Compact View'!$B$6:$B$205,"&lt;="&amp;B117))&gt;=MAX(1,ROUNDUP('03 Mind Knobs'!$B$16*(1-'03 Mind Knobs'!$B$8),0)))</x:f>
        <x:v>0</x:v>
      </x:c>
      <x:c r="M117" t="n">
        <x:f>--(OR(I117=1,J117=1,K117=1,L117=1))</x:f>
        <x:v>0</x:v>
      </x:c>
    </x:row>
    <x:row r="118">
      <x:c r="A118" t="n">
        <x:f>'00 Compact View'!A118</x:f>
        <x:v>6</x:v>
      </x:c>
      <x:c r="B118" t="n">
        <x:f>'00 Compact View'!B118</x:f>
        <x:v>13</x:v>
      </x:c>
      <x:c r="C118" s="12" t="n">
        <x:f>SUM('00 Compact View'!H118:L118)/5</x:f>
        <x:v>0</x:v>
      </x:c>
      <x:c r="D118" s="12" t="n">
        <x:f>SUM('00 Compact View'!M118:Q118)/5</x:f>
        <x:v>0</x:v>
      </x:c>
      <x:c r="E118" s="12" t="n">
        <x:f>'00 Compact View'!R118</x:f>
        <x:v>0</x:v>
      </x:c>
      <x:c r="F118" s="12" t="n">
        <x:f>'00 Compact View'!T118</x:f>
        <x:v>0</x:v>
      </x:c>
      <x:c r="G118" s="12" t="n">
        <x:f>'04 Resource Body'!$B$10</x:f>
        <x:v>0</x:v>
      </x:c>
      <x:c r="H118" t="n">
        <x:f>--(M118=0)</x:f>
        <x:v>1</x:v>
      </x:c>
      <x:c r="I118" t="n">
        <x:f>--(MIN(1,C118+D118+(E118*'03 Mind Knobs'!$B$17)+(F118*'03 Mind Knobs'!$B$18)+('03 Mind Knobs'!$B$7*F118))&gt;=MAX(0.15,0.35+(G118*'03 Mind Knobs'!$B$10)-('03 Mind Knobs'!$B$13*0.15)))</x:f>
        <x:v>0</x:v>
      </x:c>
      <x:c r="J118" t="n">
        <x:f>--(MIN(1,C118+D118+(E118*'03 Mind Knobs'!$B$17)+(F118*'03 Mind Knobs'!$B$18)+('03 Mind Knobs'!$B$7*F118))&gt;=MIN(0.95,'03 Mind Knobs'!$B$19+(G118*'03 Mind Knobs'!$B$10)-('03 Mind Knobs'!$B$13*0.10)))</x:f>
        <x:v>0</x:v>
      </x:c>
      <x:c r="K118" t="n">
        <x:f>--(AND(J118=1,OR(E118=1,F118=1)))</x:f>
        <x:v>0</x:v>
      </x:c>
      <x:c r="L118" t="n">
        <x:f>--(MAX(SUMIFS('00 Compact View'!$H$6:$H$205,'00 Compact View'!$A$6:$A$205,A118,'00 Compact View'!$B$6:$B$205,"&gt;="&amp;B118-'03 Mind Knobs'!$B$16+1,'00 Compact View'!$B$6:$B$205,"&lt;="&amp;B118),SUMIFS('00 Compact View'!$I$6:$I$205,'00 Compact View'!$A$6:$A$205,A118,'00 Compact View'!$B$6:$B$205,"&gt;="&amp;B118-'03 Mind Knobs'!$B$16+1,'00 Compact View'!$B$6:$B$205,"&lt;="&amp;B118),SUMIFS('00 Compact View'!$J$6:$J$205,'00 Compact View'!$A$6:$A$205,A118,'00 Compact View'!$B$6:$B$205,"&gt;="&amp;B118-'03 Mind Knobs'!$B$16+1,'00 Compact View'!$B$6:$B$205,"&lt;="&amp;B118),SUMIFS('00 Compact View'!$K$6:$K$205,'00 Compact View'!$A$6:$A$205,A118,'00 Compact View'!$B$6:$B$205,"&gt;="&amp;B118-'03 Mind Knobs'!$B$16+1,'00 Compact View'!$B$6:$B$205,"&lt;="&amp;B118),SUMIFS('00 Compact View'!$L$6:$L$205,'00 Compact View'!$A$6:$A$205,A118,'00 Compact View'!$B$6:$B$205,"&gt;="&amp;B118-'03 Mind Knobs'!$B$16+1,'00 Compact View'!$B$6:$B$205,"&lt;="&amp;B118))&gt;=MAX(1,ROUNDUP('03 Mind Knobs'!$B$16*(1-'03 Mind Knobs'!$B$8),0)))</x:f>
        <x:v>0</x:v>
      </x:c>
      <x:c r="M118" t="n">
        <x:f>--(OR(I118=1,J118=1,K118=1,L118=1))</x:f>
        <x:v>0</x:v>
      </x:c>
    </x:row>
    <x:row r="119">
      <x:c r="A119" t="n">
        <x:f>'00 Compact View'!A119</x:f>
        <x:v>6</x:v>
      </x:c>
      <x:c r="B119" t="n">
        <x:f>'00 Compact View'!B119</x:f>
        <x:v>14</x:v>
      </x:c>
      <x:c r="C119" s="12" t="n">
        <x:f>SUM('00 Compact View'!H119:L119)/5</x:f>
        <x:v>0.2</x:v>
      </x:c>
      <x:c r="D119" s="12" t="n">
        <x:f>SUM('00 Compact View'!M119:Q119)/5</x:f>
        <x:v>0</x:v>
      </x:c>
      <x:c r="E119" s="12" t="n">
        <x:f>'00 Compact View'!R119</x:f>
        <x:v>0</x:v>
      </x:c>
      <x:c r="F119" s="12" t="n">
        <x:f>'00 Compact View'!T119</x:f>
        <x:v>0</x:v>
      </x:c>
      <x:c r="G119" s="12" t="n">
        <x:f>'04 Resource Body'!$B$10</x:f>
        <x:v>0</x:v>
      </x:c>
      <x:c r="H119" t="n">
        <x:f>--(M119=0)</x:f>
        <x:v>1</x:v>
      </x:c>
      <x:c r="I119" t="n">
        <x:f>--(MIN(1,C119+D119+(E119*'03 Mind Knobs'!$B$17)+(F119*'03 Mind Knobs'!$B$18)+('03 Mind Knobs'!$B$7*F119))&gt;=MAX(0.15,0.35+(G119*'03 Mind Knobs'!$B$10)-('03 Mind Knobs'!$B$13*0.15)))</x:f>
        <x:v>0</x:v>
      </x:c>
      <x:c r="J119" t="n">
        <x:f>--(MIN(1,C119+D119+(E119*'03 Mind Knobs'!$B$17)+(F119*'03 Mind Knobs'!$B$18)+('03 Mind Knobs'!$B$7*F119))&gt;=MIN(0.95,'03 Mind Knobs'!$B$19+(G119*'03 Mind Knobs'!$B$10)-('03 Mind Knobs'!$B$13*0.10)))</x:f>
        <x:v>0</x:v>
      </x:c>
      <x:c r="K119" t="n">
        <x:f>--(AND(J119=1,OR(E119=1,F119=1)))</x:f>
        <x:v>0</x:v>
      </x:c>
      <x:c r="L119" t="n">
        <x:f>--(MAX(SUMIFS('00 Compact View'!$H$6:$H$205,'00 Compact View'!$A$6:$A$205,A119,'00 Compact View'!$B$6:$B$205,"&gt;="&amp;B119-'03 Mind Knobs'!$B$16+1,'00 Compact View'!$B$6:$B$205,"&lt;="&amp;B119),SUMIFS('00 Compact View'!$I$6:$I$205,'00 Compact View'!$A$6:$A$205,A119,'00 Compact View'!$B$6:$B$205,"&gt;="&amp;B119-'03 Mind Knobs'!$B$16+1,'00 Compact View'!$B$6:$B$205,"&lt;="&amp;B119),SUMIFS('00 Compact View'!$J$6:$J$205,'00 Compact View'!$A$6:$A$205,A119,'00 Compact View'!$B$6:$B$205,"&gt;="&amp;B119-'03 Mind Knobs'!$B$16+1,'00 Compact View'!$B$6:$B$205,"&lt;="&amp;B119),SUMIFS('00 Compact View'!$K$6:$K$205,'00 Compact View'!$A$6:$A$205,A119,'00 Compact View'!$B$6:$B$205,"&gt;="&amp;B119-'03 Mind Knobs'!$B$16+1,'00 Compact View'!$B$6:$B$205,"&lt;="&amp;B119),SUMIFS('00 Compact View'!$L$6:$L$205,'00 Compact View'!$A$6:$A$205,A119,'00 Compact View'!$B$6:$B$205,"&gt;="&amp;B119-'03 Mind Knobs'!$B$16+1,'00 Compact View'!$B$6:$B$205,"&lt;="&amp;B119))&gt;=MAX(1,ROUNDUP('03 Mind Knobs'!$B$16*(1-'03 Mind Knobs'!$B$8),0)))</x:f>
        <x:v>0</x:v>
      </x:c>
      <x:c r="M119" t="n">
        <x:f>--(OR(I119=1,J119=1,K119=1,L119=1))</x:f>
        <x:v>0</x:v>
      </x:c>
    </x:row>
    <x:row r="120">
      <x:c r="A120" t="n">
        <x:f>'00 Compact View'!A120</x:f>
        <x:v>6</x:v>
      </x:c>
      <x:c r="B120" t="n">
        <x:f>'00 Compact View'!B120</x:f>
        <x:v>15</x:v>
      </x:c>
      <x:c r="C120" s="12" t="n">
        <x:f>SUM('00 Compact View'!H120:L120)/5</x:f>
        <x:v>0</x:v>
      </x:c>
      <x:c r="D120" s="12" t="n">
        <x:f>SUM('00 Compact View'!M120:Q120)/5</x:f>
        <x:v>0.2</x:v>
      </x:c>
      <x:c r="E120" s="12" t="n">
        <x:f>'00 Compact View'!R120</x:f>
        <x:v>0</x:v>
      </x:c>
      <x:c r="F120" s="12" t="n">
        <x:f>'00 Compact View'!T120</x:f>
        <x:v>1</x:v>
      </x:c>
      <x:c r="G120" s="12" t="n">
        <x:f>'04 Resource Body'!$B$10</x:f>
        <x:v>0</x:v>
      </x:c>
      <x:c r="H120" t="n">
        <x:f>--(M120=0)</x:f>
        <x:v>0</x:v>
      </x:c>
      <x:c r="I120" t="n">
        <x:f>--(MIN(1,C120+D120+(E120*'03 Mind Knobs'!$B$17)+(F120*'03 Mind Knobs'!$B$18)+('03 Mind Knobs'!$B$7*F120))&gt;=MAX(0.15,0.35+(G120*'03 Mind Knobs'!$B$10)-('03 Mind Knobs'!$B$13*0.15)))</x:f>
        <x:v>1</x:v>
      </x:c>
      <x:c r="J120" t="n">
        <x:f>--(MIN(1,C120+D120+(E120*'03 Mind Knobs'!$B$17)+(F120*'03 Mind Knobs'!$B$18)+('03 Mind Knobs'!$B$7*F120))&gt;=MIN(0.95,'03 Mind Knobs'!$B$19+(G120*'03 Mind Knobs'!$B$10)-('03 Mind Knobs'!$B$13*0.10)))</x:f>
        <x:v>1</x:v>
      </x:c>
      <x:c r="K120" t="n">
        <x:f>--(AND(J120=1,OR(E120=1,F120=1)))</x:f>
        <x:v>1</x:v>
      </x:c>
      <x:c r="L120" t="n">
        <x:f>--(MAX(SUMIFS('00 Compact View'!$H$6:$H$205,'00 Compact View'!$A$6:$A$205,A120,'00 Compact View'!$B$6:$B$205,"&gt;="&amp;B120-'03 Mind Knobs'!$B$16+1,'00 Compact View'!$B$6:$B$205,"&lt;="&amp;B120),SUMIFS('00 Compact View'!$I$6:$I$205,'00 Compact View'!$A$6:$A$205,A120,'00 Compact View'!$B$6:$B$205,"&gt;="&amp;B120-'03 Mind Knobs'!$B$16+1,'00 Compact View'!$B$6:$B$205,"&lt;="&amp;B120),SUMIFS('00 Compact View'!$J$6:$J$205,'00 Compact View'!$A$6:$A$205,A120,'00 Compact View'!$B$6:$B$205,"&gt;="&amp;B120-'03 Mind Knobs'!$B$16+1,'00 Compact View'!$B$6:$B$205,"&lt;="&amp;B120),SUMIFS('00 Compact View'!$K$6:$K$205,'00 Compact View'!$A$6:$A$205,A120,'00 Compact View'!$B$6:$B$205,"&gt;="&amp;B120-'03 Mind Knobs'!$B$16+1,'00 Compact View'!$B$6:$B$205,"&lt;="&amp;B120),SUMIFS('00 Compact View'!$L$6:$L$205,'00 Compact View'!$A$6:$A$205,A120,'00 Compact View'!$B$6:$B$205,"&gt;="&amp;B120-'03 Mind Knobs'!$B$16+1,'00 Compact View'!$B$6:$B$205,"&lt;="&amp;B120))&gt;=MAX(1,ROUNDUP('03 Mind Knobs'!$B$16*(1-'03 Mind Knobs'!$B$8),0)))</x:f>
        <x:v>0</x:v>
      </x:c>
      <x:c r="M120" t="n">
        <x:f>--(OR(I120=1,J120=1,K120=1,L120=1))</x:f>
        <x:v>1</x:v>
      </x:c>
    </x:row>
    <x:row r="121">
      <x:c r="A121" t="n">
        <x:f>'00 Compact View'!A121</x:f>
        <x:v>6</x:v>
      </x:c>
      <x:c r="B121" t="n">
        <x:f>'00 Compact View'!B121</x:f>
        <x:v>16</x:v>
      </x:c>
      <x:c r="C121" s="12" t="n">
        <x:f>SUM('00 Compact View'!H121:L121)/5</x:f>
        <x:v>0</x:v>
      </x:c>
      <x:c r="D121" s="12" t="n">
        <x:f>SUM('00 Compact View'!M121:Q121)/5</x:f>
        <x:v>0</x:v>
      </x:c>
      <x:c r="E121" s="12" t="n">
        <x:f>'00 Compact View'!R121</x:f>
        <x:v>0</x:v>
      </x:c>
      <x:c r="F121" s="12" t="n">
        <x:f>'00 Compact View'!T121</x:f>
        <x:v>1</x:v>
      </x:c>
      <x:c r="G121" s="12" t="n">
        <x:f>'04 Resource Body'!$B$10</x:f>
        <x:v>0</x:v>
      </x:c>
      <x:c r="H121" t="n">
        <x:f>--(M121=0)</x:f>
        <x:v>0</x:v>
      </x:c>
      <x:c r="I121" t="n">
        <x:f>--(MIN(1,C121+D121+(E121*'03 Mind Knobs'!$B$17)+(F121*'03 Mind Knobs'!$B$18)+('03 Mind Knobs'!$B$7*F121))&gt;=MAX(0.15,0.35+(G121*'03 Mind Knobs'!$B$10)-('03 Mind Knobs'!$B$13*0.15)))</x:f>
        <x:v>1</x:v>
      </x:c>
      <x:c r="J121" t="n">
        <x:f>--(MIN(1,C121+D121+(E121*'03 Mind Knobs'!$B$17)+(F121*'03 Mind Knobs'!$B$18)+('03 Mind Knobs'!$B$7*F121))&gt;=MIN(0.95,'03 Mind Knobs'!$B$19+(G121*'03 Mind Knobs'!$B$10)-('03 Mind Knobs'!$B$13*0.10)))</x:f>
        <x:v>1</x:v>
      </x:c>
      <x:c r="K121" t="n">
        <x:f>--(AND(J121=1,OR(E121=1,F121=1)))</x:f>
        <x:v>1</x:v>
      </x:c>
      <x:c r="L121" t="n">
        <x:f>--(MAX(SUMIFS('00 Compact View'!$H$6:$H$205,'00 Compact View'!$A$6:$A$205,A121,'00 Compact View'!$B$6:$B$205,"&gt;="&amp;B121-'03 Mind Knobs'!$B$16+1,'00 Compact View'!$B$6:$B$205,"&lt;="&amp;B121),SUMIFS('00 Compact View'!$I$6:$I$205,'00 Compact View'!$A$6:$A$205,A121,'00 Compact View'!$B$6:$B$205,"&gt;="&amp;B121-'03 Mind Knobs'!$B$16+1,'00 Compact View'!$B$6:$B$205,"&lt;="&amp;B121),SUMIFS('00 Compact View'!$J$6:$J$205,'00 Compact View'!$A$6:$A$205,A121,'00 Compact View'!$B$6:$B$205,"&gt;="&amp;B121-'03 Mind Knobs'!$B$16+1,'00 Compact View'!$B$6:$B$205,"&lt;="&amp;B121),SUMIFS('00 Compact View'!$K$6:$K$205,'00 Compact View'!$A$6:$A$205,A121,'00 Compact View'!$B$6:$B$205,"&gt;="&amp;B121-'03 Mind Knobs'!$B$16+1,'00 Compact View'!$B$6:$B$205,"&lt;="&amp;B121),SUMIFS('00 Compact View'!$L$6:$L$205,'00 Compact View'!$A$6:$A$205,A121,'00 Compact View'!$B$6:$B$205,"&gt;="&amp;B121-'03 Mind Knobs'!$B$16+1,'00 Compact View'!$B$6:$B$205,"&lt;="&amp;B121))&gt;=MAX(1,ROUNDUP('03 Mind Knobs'!$B$16*(1-'03 Mind Knobs'!$B$8),0)))</x:f>
        <x:v>0</x:v>
      </x:c>
      <x:c r="M121" t="n">
        <x:f>--(OR(I121=1,J121=1,K121=1,L121=1))</x:f>
        <x:v>1</x:v>
      </x:c>
    </x:row>
    <x:row r="122">
      <x:c r="A122" t="n">
        <x:f>'00 Compact View'!A122</x:f>
        <x:v>6</x:v>
      </x:c>
      <x:c r="B122" t="n">
        <x:f>'00 Compact View'!B122</x:f>
        <x:v>17</x:v>
      </x:c>
      <x:c r="C122" s="12" t="n">
        <x:f>SUM('00 Compact View'!H122:L122)/5</x:f>
        <x:v>0</x:v>
      </x:c>
      <x:c r="D122" s="12" t="n">
        <x:f>SUM('00 Compact View'!M122:Q122)/5</x:f>
        <x:v>0</x:v>
      </x:c>
      <x:c r="E122" s="12" t="n">
        <x:f>'00 Compact View'!R122</x:f>
        <x:v>0</x:v>
      </x:c>
      <x:c r="F122" s="12" t="n">
        <x:f>'00 Compact View'!T122</x:f>
        <x:v>0</x:v>
      </x:c>
      <x:c r="G122" s="12" t="n">
        <x:f>'04 Resource Body'!$B$10</x:f>
        <x:v>0</x:v>
      </x:c>
      <x:c r="H122" t="n">
        <x:f>--(M122=0)</x:f>
        <x:v>1</x:v>
      </x:c>
      <x:c r="I122" t="n">
        <x:f>--(MIN(1,C122+D122+(E122*'03 Mind Knobs'!$B$17)+(F122*'03 Mind Knobs'!$B$18)+('03 Mind Knobs'!$B$7*F122))&gt;=MAX(0.15,0.35+(G122*'03 Mind Knobs'!$B$10)-('03 Mind Knobs'!$B$13*0.15)))</x:f>
        <x:v>0</x:v>
      </x:c>
      <x:c r="J122" t="n">
        <x:f>--(MIN(1,C122+D122+(E122*'03 Mind Knobs'!$B$17)+(F122*'03 Mind Knobs'!$B$18)+('03 Mind Knobs'!$B$7*F122))&gt;=MIN(0.95,'03 Mind Knobs'!$B$19+(G122*'03 Mind Knobs'!$B$10)-('03 Mind Knobs'!$B$13*0.10)))</x:f>
        <x:v>0</x:v>
      </x:c>
      <x:c r="K122" t="n">
        <x:f>--(AND(J122=1,OR(E122=1,F122=1)))</x:f>
        <x:v>0</x:v>
      </x:c>
      <x:c r="L122" t="n">
        <x:f>--(MAX(SUMIFS('00 Compact View'!$H$6:$H$205,'00 Compact View'!$A$6:$A$205,A122,'00 Compact View'!$B$6:$B$205,"&gt;="&amp;B122-'03 Mind Knobs'!$B$16+1,'00 Compact View'!$B$6:$B$205,"&lt;="&amp;B122),SUMIFS('00 Compact View'!$I$6:$I$205,'00 Compact View'!$A$6:$A$205,A122,'00 Compact View'!$B$6:$B$205,"&gt;="&amp;B122-'03 Mind Knobs'!$B$16+1,'00 Compact View'!$B$6:$B$205,"&lt;="&amp;B122),SUMIFS('00 Compact View'!$J$6:$J$205,'00 Compact View'!$A$6:$A$205,A122,'00 Compact View'!$B$6:$B$205,"&gt;="&amp;B122-'03 Mind Knobs'!$B$16+1,'00 Compact View'!$B$6:$B$205,"&lt;="&amp;B122),SUMIFS('00 Compact View'!$K$6:$K$205,'00 Compact View'!$A$6:$A$205,A122,'00 Compact View'!$B$6:$B$205,"&gt;="&amp;B122-'03 Mind Knobs'!$B$16+1,'00 Compact View'!$B$6:$B$205,"&lt;="&amp;B122),SUMIFS('00 Compact View'!$L$6:$L$205,'00 Compact View'!$A$6:$A$205,A122,'00 Compact View'!$B$6:$B$205,"&gt;="&amp;B122-'03 Mind Knobs'!$B$16+1,'00 Compact View'!$B$6:$B$205,"&lt;="&amp;B122))&gt;=MAX(1,ROUNDUP('03 Mind Knobs'!$B$16*(1-'03 Mind Knobs'!$B$8),0)))</x:f>
        <x:v>0</x:v>
      </x:c>
      <x:c r="M122" t="n">
        <x:f>--(OR(I122=1,J122=1,K122=1,L122=1))</x:f>
        <x:v>0</x:v>
      </x:c>
    </x:row>
    <x:row r="123">
      <x:c r="A123" t="n">
        <x:f>'00 Compact View'!A123</x:f>
        <x:v>6</x:v>
      </x:c>
      <x:c r="B123" t="n">
        <x:f>'00 Compact View'!B123</x:f>
        <x:v>18</x:v>
      </x:c>
      <x:c r="C123" s="12" t="n">
        <x:f>SUM('00 Compact View'!H123:L123)/5</x:f>
        <x:v>0</x:v>
      </x:c>
      <x:c r="D123" s="12" t="n">
        <x:f>SUM('00 Compact View'!M123:Q123)/5</x:f>
        <x:v>0</x:v>
      </x:c>
      <x:c r="E123" s="12" t="n">
        <x:f>'00 Compact View'!R123</x:f>
        <x:v>0</x:v>
      </x:c>
      <x:c r="F123" s="12" t="n">
        <x:f>'00 Compact View'!T123</x:f>
        <x:v>0</x:v>
      </x:c>
      <x:c r="G123" s="12" t="n">
        <x:f>'04 Resource Body'!$B$10</x:f>
        <x:v>0</x:v>
      </x:c>
      <x:c r="H123" t="n">
        <x:f>--(M123=0)</x:f>
        <x:v>1</x:v>
      </x:c>
      <x:c r="I123" t="n">
        <x:f>--(MIN(1,C123+D123+(E123*'03 Mind Knobs'!$B$17)+(F123*'03 Mind Knobs'!$B$18)+('03 Mind Knobs'!$B$7*F123))&gt;=MAX(0.15,0.35+(G123*'03 Mind Knobs'!$B$10)-('03 Mind Knobs'!$B$13*0.15)))</x:f>
        <x:v>0</x:v>
      </x:c>
      <x:c r="J123" t="n">
        <x:f>--(MIN(1,C123+D123+(E123*'03 Mind Knobs'!$B$17)+(F123*'03 Mind Knobs'!$B$18)+('03 Mind Knobs'!$B$7*F123))&gt;=MIN(0.95,'03 Mind Knobs'!$B$19+(G123*'03 Mind Knobs'!$B$10)-('03 Mind Knobs'!$B$13*0.10)))</x:f>
        <x:v>0</x:v>
      </x:c>
      <x:c r="K123" t="n">
        <x:f>--(AND(J123=1,OR(E123=1,F123=1)))</x:f>
        <x:v>0</x:v>
      </x:c>
      <x:c r="L123" t="n">
        <x:f>--(MAX(SUMIFS('00 Compact View'!$H$6:$H$205,'00 Compact View'!$A$6:$A$205,A123,'00 Compact View'!$B$6:$B$205,"&gt;="&amp;B123-'03 Mind Knobs'!$B$16+1,'00 Compact View'!$B$6:$B$205,"&lt;="&amp;B123),SUMIFS('00 Compact View'!$I$6:$I$205,'00 Compact View'!$A$6:$A$205,A123,'00 Compact View'!$B$6:$B$205,"&gt;="&amp;B123-'03 Mind Knobs'!$B$16+1,'00 Compact View'!$B$6:$B$205,"&lt;="&amp;B123),SUMIFS('00 Compact View'!$J$6:$J$205,'00 Compact View'!$A$6:$A$205,A123,'00 Compact View'!$B$6:$B$205,"&gt;="&amp;B123-'03 Mind Knobs'!$B$16+1,'00 Compact View'!$B$6:$B$205,"&lt;="&amp;B123),SUMIFS('00 Compact View'!$K$6:$K$205,'00 Compact View'!$A$6:$A$205,A123,'00 Compact View'!$B$6:$B$205,"&gt;="&amp;B123-'03 Mind Knobs'!$B$16+1,'00 Compact View'!$B$6:$B$205,"&lt;="&amp;B123),SUMIFS('00 Compact View'!$L$6:$L$205,'00 Compact View'!$A$6:$A$205,A123,'00 Compact View'!$B$6:$B$205,"&gt;="&amp;B123-'03 Mind Knobs'!$B$16+1,'00 Compact View'!$B$6:$B$205,"&lt;="&amp;B123))&gt;=MAX(1,ROUNDUP('03 Mind Knobs'!$B$16*(1-'03 Mind Knobs'!$B$8),0)))</x:f>
        <x:v>0</x:v>
      </x:c>
      <x:c r="M123" t="n">
        <x:f>--(OR(I123=1,J123=1,K123=1,L123=1))</x:f>
        <x:v>0</x:v>
      </x:c>
    </x:row>
    <x:row r="124">
      <x:c r="A124" t="n">
        <x:f>'00 Compact View'!A124</x:f>
        <x:v>6</x:v>
      </x:c>
      <x:c r="B124" t="n">
        <x:f>'00 Compact View'!B124</x:f>
        <x:v>19</x:v>
      </x:c>
      <x:c r="C124" s="12" t="n">
        <x:f>SUM('00 Compact View'!H124:L124)/5</x:f>
        <x:v>0</x:v>
      </x:c>
      <x:c r="D124" s="12" t="n">
        <x:f>SUM('00 Compact View'!M124:Q124)/5</x:f>
        <x:v>0</x:v>
      </x:c>
      <x:c r="E124" s="12" t="n">
        <x:f>'00 Compact View'!R124</x:f>
        <x:v>0</x:v>
      </x:c>
      <x:c r="F124" s="12" t="n">
        <x:f>'00 Compact View'!T124</x:f>
        <x:v>0</x:v>
      </x:c>
      <x:c r="G124" s="12" t="n">
        <x:f>'04 Resource Body'!$B$10</x:f>
        <x:v>0</x:v>
      </x:c>
      <x:c r="H124" t="n">
        <x:f>--(M124=0)</x:f>
        <x:v>1</x:v>
      </x:c>
      <x:c r="I124" t="n">
        <x:f>--(MIN(1,C124+D124+(E124*'03 Mind Knobs'!$B$17)+(F124*'03 Mind Knobs'!$B$18)+('03 Mind Knobs'!$B$7*F124))&gt;=MAX(0.15,0.35+(G124*'03 Mind Knobs'!$B$10)-('03 Mind Knobs'!$B$13*0.15)))</x:f>
        <x:v>0</x:v>
      </x:c>
      <x:c r="J124" t="n">
        <x:f>--(MIN(1,C124+D124+(E124*'03 Mind Knobs'!$B$17)+(F124*'03 Mind Knobs'!$B$18)+('03 Mind Knobs'!$B$7*F124))&gt;=MIN(0.95,'03 Mind Knobs'!$B$19+(G124*'03 Mind Knobs'!$B$10)-('03 Mind Knobs'!$B$13*0.10)))</x:f>
        <x:v>0</x:v>
      </x:c>
      <x:c r="K124" t="n">
        <x:f>--(AND(J124=1,OR(E124=1,F124=1)))</x:f>
        <x:v>0</x:v>
      </x:c>
      <x:c r="L124" t="n">
        <x:f>--(MAX(SUMIFS('00 Compact View'!$H$6:$H$205,'00 Compact View'!$A$6:$A$205,A124,'00 Compact View'!$B$6:$B$205,"&gt;="&amp;B124-'03 Mind Knobs'!$B$16+1,'00 Compact View'!$B$6:$B$205,"&lt;="&amp;B124),SUMIFS('00 Compact View'!$I$6:$I$205,'00 Compact View'!$A$6:$A$205,A124,'00 Compact View'!$B$6:$B$205,"&gt;="&amp;B124-'03 Mind Knobs'!$B$16+1,'00 Compact View'!$B$6:$B$205,"&lt;="&amp;B124),SUMIFS('00 Compact View'!$J$6:$J$205,'00 Compact View'!$A$6:$A$205,A124,'00 Compact View'!$B$6:$B$205,"&gt;="&amp;B124-'03 Mind Knobs'!$B$16+1,'00 Compact View'!$B$6:$B$205,"&lt;="&amp;B124),SUMIFS('00 Compact View'!$K$6:$K$205,'00 Compact View'!$A$6:$A$205,A124,'00 Compact View'!$B$6:$B$205,"&gt;="&amp;B124-'03 Mind Knobs'!$B$16+1,'00 Compact View'!$B$6:$B$205,"&lt;="&amp;B124),SUMIFS('00 Compact View'!$L$6:$L$205,'00 Compact View'!$A$6:$A$205,A124,'00 Compact View'!$B$6:$B$205,"&gt;="&amp;B124-'03 Mind Knobs'!$B$16+1,'00 Compact View'!$B$6:$B$205,"&lt;="&amp;B124))&gt;=MAX(1,ROUNDUP('03 Mind Knobs'!$B$16*(1-'03 Mind Knobs'!$B$8),0)))</x:f>
        <x:v>0</x:v>
      </x:c>
      <x:c r="M124" t="n">
        <x:f>--(OR(I124=1,J124=1,K124=1,L124=1))</x:f>
        <x:v>0</x:v>
      </x:c>
    </x:row>
    <x:row r="125">
      <x:c r="A125" t="n">
        <x:f>'00 Compact View'!A125</x:f>
        <x:v>6</x:v>
      </x:c>
      <x:c r="B125" t="n">
        <x:f>'00 Compact View'!B125</x:f>
        <x:v>20</x:v>
      </x:c>
      <x:c r="C125" s="12" t="n">
        <x:f>SUM('00 Compact View'!H125:L125)/5</x:f>
        <x:v>0</x:v>
      </x:c>
      <x:c r="D125" s="12" t="n">
        <x:f>SUM('00 Compact View'!M125:Q125)/5</x:f>
        <x:v>0</x:v>
      </x:c>
      <x:c r="E125" s="12" t="n">
        <x:f>'00 Compact View'!R125</x:f>
        <x:v>0</x:v>
      </x:c>
      <x:c r="F125" s="12" t="n">
        <x:f>'00 Compact View'!T125</x:f>
        <x:v>0</x:v>
      </x:c>
      <x:c r="G125" s="12" t="n">
        <x:f>'04 Resource Body'!$B$10</x:f>
        <x:v>0</x:v>
      </x:c>
      <x:c r="H125" t="n">
        <x:f>--(M125=0)</x:f>
        <x:v>1</x:v>
      </x:c>
      <x:c r="I125" t="n">
        <x:f>--(MIN(1,C125+D125+(E125*'03 Mind Knobs'!$B$17)+(F125*'03 Mind Knobs'!$B$18)+('03 Mind Knobs'!$B$7*F125))&gt;=MAX(0.15,0.35+(G125*'03 Mind Knobs'!$B$10)-('03 Mind Knobs'!$B$13*0.15)))</x:f>
        <x:v>0</x:v>
      </x:c>
      <x:c r="J125" t="n">
        <x:f>--(MIN(1,C125+D125+(E125*'03 Mind Knobs'!$B$17)+(F125*'03 Mind Knobs'!$B$18)+('03 Mind Knobs'!$B$7*F125))&gt;=MIN(0.95,'03 Mind Knobs'!$B$19+(G125*'03 Mind Knobs'!$B$10)-('03 Mind Knobs'!$B$13*0.10)))</x:f>
        <x:v>0</x:v>
      </x:c>
      <x:c r="K125" t="n">
        <x:f>--(AND(J125=1,OR(E125=1,F125=1)))</x:f>
        <x:v>0</x:v>
      </x:c>
      <x:c r="L125" t="n">
        <x:f>--(MAX(SUMIFS('00 Compact View'!$H$6:$H$205,'00 Compact View'!$A$6:$A$205,A125,'00 Compact View'!$B$6:$B$205,"&gt;="&amp;B125-'03 Mind Knobs'!$B$16+1,'00 Compact View'!$B$6:$B$205,"&lt;="&amp;B125),SUMIFS('00 Compact View'!$I$6:$I$205,'00 Compact View'!$A$6:$A$205,A125,'00 Compact View'!$B$6:$B$205,"&gt;="&amp;B125-'03 Mind Knobs'!$B$16+1,'00 Compact View'!$B$6:$B$205,"&lt;="&amp;B125),SUMIFS('00 Compact View'!$J$6:$J$205,'00 Compact View'!$A$6:$A$205,A125,'00 Compact View'!$B$6:$B$205,"&gt;="&amp;B125-'03 Mind Knobs'!$B$16+1,'00 Compact View'!$B$6:$B$205,"&lt;="&amp;B125),SUMIFS('00 Compact View'!$K$6:$K$205,'00 Compact View'!$A$6:$A$205,A125,'00 Compact View'!$B$6:$B$205,"&gt;="&amp;B125-'03 Mind Knobs'!$B$16+1,'00 Compact View'!$B$6:$B$205,"&lt;="&amp;B125),SUMIFS('00 Compact View'!$L$6:$L$205,'00 Compact View'!$A$6:$A$205,A125,'00 Compact View'!$B$6:$B$205,"&gt;="&amp;B125-'03 Mind Knobs'!$B$16+1,'00 Compact View'!$B$6:$B$205,"&lt;="&amp;B125))&gt;=MAX(1,ROUNDUP('03 Mind Knobs'!$B$16*(1-'03 Mind Knobs'!$B$8),0)))</x:f>
        <x:v>0</x:v>
      </x:c>
      <x:c r="M125" t="n">
        <x:f>--(OR(I125=1,J125=1,K125=1,L125=1))</x:f>
        <x:v>0</x:v>
      </x:c>
    </x:row>
    <x:row r="126">
      <x:c r="A126" t="n">
        <x:f>'00 Compact View'!A126</x:f>
        <x:v>7</x:v>
      </x:c>
      <x:c r="B126" t="n">
        <x:f>'00 Compact View'!B126</x:f>
        <x:v>1</x:v>
      </x:c>
      <x:c r="C126" s="12" t="n">
        <x:f>SUM('00 Compact View'!H126:L126)/5</x:f>
        <x:v>0</x:v>
      </x:c>
      <x:c r="D126" s="12" t="n">
        <x:f>SUM('00 Compact View'!M126:Q126)/5</x:f>
        <x:v>0</x:v>
      </x:c>
      <x:c r="E126" s="12" t="n">
        <x:f>'00 Compact View'!R126</x:f>
        <x:v>0</x:v>
      </x:c>
      <x:c r="F126" s="12" t="n">
        <x:f>'00 Compact View'!T126</x:f>
        <x:v>0</x:v>
      </x:c>
      <x:c r="G126" s="12" t="n">
        <x:f>'04 Resource Body'!$B$10</x:f>
        <x:v>0</x:v>
      </x:c>
      <x:c r="H126" t="n">
        <x:f>--(M126=0)</x:f>
        <x:v>1</x:v>
      </x:c>
      <x:c r="I126" t="n">
        <x:f>--(MIN(1,C126+D126+(E126*'03 Mind Knobs'!$B$17)+(F126*'03 Mind Knobs'!$B$18)+('03 Mind Knobs'!$B$7*F126))&gt;=MAX(0.15,0.35+(G126*'03 Mind Knobs'!$B$10)-('03 Mind Knobs'!$B$13*0.15)))</x:f>
        <x:v>0</x:v>
      </x:c>
      <x:c r="J126" t="n">
        <x:f>--(MIN(1,C126+D126+(E126*'03 Mind Knobs'!$B$17)+(F126*'03 Mind Knobs'!$B$18)+('03 Mind Knobs'!$B$7*F126))&gt;=MIN(0.95,'03 Mind Knobs'!$B$19+(G126*'03 Mind Knobs'!$B$10)-('03 Mind Knobs'!$B$13*0.10)))</x:f>
        <x:v>0</x:v>
      </x:c>
      <x:c r="K126" t="n">
        <x:f>--(AND(J126=1,OR(E126=1,F126=1)))</x:f>
        <x:v>0</x:v>
      </x:c>
      <x:c r="L126" t="n">
        <x:f>--(MAX(SUMIFS('00 Compact View'!$H$6:$H$205,'00 Compact View'!$A$6:$A$205,A126,'00 Compact View'!$B$6:$B$205,"&gt;="&amp;B126-'03 Mind Knobs'!$B$16+1,'00 Compact View'!$B$6:$B$205,"&lt;="&amp;B126),SUMIFS('00 Compact View'!$I$6:$I$205,'00 Compact View'!$A$6:$A$205,A126,'00 Compact View'!$B$6:$B$205,"&gt;="&amp;B126-'03 Mind Knobs'!$B$16+1,'00 Compact View'!$B$6:$B$205,"&lt;="&amp;B126),SUMIFS('00 Compact View'!$J$6:$J$205,'00 Compact View'!$A$6:$A$205,A126,'00 Compact View'!$B$6:$B$205,"&gt;="&amp;B126-'03 Mind Knobs'!$B$16+1,'00 Compact View'!$B$6:$B$205,"&lt;="&amp;B126),SUMIFS('00 Compact View'!$K$6:$K$205,'00 Compact View'!$A$6:$A$205,A126,'00 Compact View'!$B$6:$B$205,"&gt;="&amp;B126-'03 Mind Knobs'!$B$16+1,'00 Compact View'!$B$6:$B$205,"&lt;="&amp;B126),SUMIFS('00 Compact View'!$L$6:$L$205,'00 Compact View'!$A$6:$A$205,A126,'00 Compact View'!$B$6:$B$205,"&gt;="&amp;B126-'03 Mind Knobs'!$B$16+1,'00 Compact View'!$B$6:$B$205,"&lt;="&amp;B126))&gt;=MAX(1,ROUNDUP('03 Mind Knobs'!$B$16*(1-'03 Mind Knobs'!$B$8),0)))</x:f>
        <x:v>0</x:v>
      </x:c>
      <x:c r="M126" t="n">
        <x:f>--(OR(I126=1,J126=1,K126=1,L126=1))</x:f>
        <x:v>0</x:v>
      </x:c>
    </x:row>
    <x:row r="127">
      <x:c r="A127" t="n">
        <x:f>'00 Compact View'!A127</x:f>
        <x:v>7</x:v>
      </x:c>
      <x:c r="B127" t="n">
        <x:f>'00 Compact View'!B127</x:f>
        <x:v>2</x:v>
      </x:c>
      <x:c r="C127" s="12" t="n">
        <x:f>SUM('00 Compact View'!H127:L127)/5</x:f>
        <x:v>0</x:v>
      </x:c>
      <x:c r="D127" s="12" t="n">
        <x:f>SUM('00 Compact View'!M127:Q127)/5</x:f>
        <x:v>0.6</x:v>
      </x:c>
      <x:c r="E127" s="12" t="n">
        <x:f>'00 Compact View'!R127</x:f>
        <x:v>1</x:v>
      </x:c>
      <x:c r="F127" s="12" t="n">
        <x:f>'00 Compact View'!T127</x:f>
        <x:v>1</x:v>
      </x:c>
      <x:c r="G127" s="12" t="n">
        <x:f>'04 Resource Body'!$B$10</x:f>
        <x:v>0</x:v>
      </x:c>
      <x:c r="H127" t="n">
        <x:f>--(M127=0)</x:f>
        <x:v>0</x:v>
      </x:c>
      <x:c r="I127" t="n">
        <x:f>--(MIN(1,C127+D127+(E127*'03 Mind Knobs'!$B$17)+(F127*'03 Mind Knobs'!$B$18)+('03 Mind Knobs'!$B$7*F127))&gt;=MAX(0.15,0.35+(G127*'03 Mind Knobs'!$B$10)-('03 Mind Knobs'!$B$13*0.15)))</x:f>
        <x:v>1</x:v>
      </x:c>
      <x:c r="J127" t="n">
        <x:f>--(MIN(1,C127+D127+(E127*'03 Mind Knobs'!$B$17)+(F127*'03 Mind Knobs'!$B$18)+('03 Mind Knobs'!$B$7*F127))&gt;=MIN(0.95,'03 Mind Knobs'!$B$19+(G127*'03 Mind Knobs'!$B$10)-('03 Mind Knobs'!$B$13*0.10)))</x:f>
        <x:v>1</x:v>
      </x:c>
      <x:c r="K127" t="n">
        <x:f>--(AND(J127=1,OR(E127=1,F127=1)))</x:f>
        <x:v>1</x:v>
      </x:c>
      <x:c r="L127" t="n">
        <x:f>--(MAX(SUMIFS('00 Compact View'!$H$6:$H$205,'00 Compact View'!$A$6:$A$205,A127,'00 Compact View'!$B$6:$B$205,"&gt;="&amp;B127-'03 Mind Knobs'!$B$16+1,'00 Compact View'!$B$6:$B$205,"&lt;="&amp;B127),SUMIFS('00 Compact View'!$I$6:$I$205,'00 Compact View'!$A$6:$A$205,A127,'00 Compact View'!$B$6:$B$205,"&gt;="&amp;B127-'03 Mind Knobs'!$B$16+1,'00 Compact View'!$B$6:$B$205,"&lt;="&amp;B127),SUMIFS('00 Compact View'!$J$6:$J$205,'00 Compact View'!$A$6:$A$205,A127,'00 Compact View'!$B$6:$B$205,"&gt;="&amp;B127-'03 Mind Knobs'!$B$16+1,'00 Compact View'!$B$6:$B$205,"&lt;="&amp;B127),SUMIFS('00 Compact View'!$K$6:$K$205,'00 Compact View'!$A$6:$A$205,A127,'00 Compact View'!$B$6:$B$205,"&gt;="&amp;B127-'03 Mind Knobs'!$B$16+1,'00 Compact View'!$B$6:$B$205,"&lt;="&amp;B127),SUMIFS('00 Compact View'!$L$6:$L$205,'00 Compact View'!$A$6:$A$205,A127,'00 Compact View'!$B$6:$B$205,"&gt;="&amp;B127-'03 Mind Knobs'!$B$16+1,'00 Compact View'!$B$6:$B$205,"&lt;="&amp;B127))&gt;=MAX(1,ROUNDUP('03 Mind Knobs'!$B$16*(1-'03 Mind Knobs'!$B$8),0)))</x:f>
        <x:v>0</x:v>
      </x:c>
      <x:c r="M127" t="n">
        <x:f>--(OR(I127=1,J127=1,K127=1,L127=1))</x:f>
        <x:v>1</x:v>
      </x:c>
    </x:row>
    <x:row r="128">
      <x:c r="A128" t="n">
        <x:f>'00 Compact View'!A128</x:f>
        <x:v>7</x:v>
      </x:c>
      <x:c r="B128" t="n">
        <x:f>'00 Compact View'!B128</x:f>
        <x:v>3</x:v>
      </x:c>
      <x:c r="C128" s="12" t="n">
        <x:f>SUM('00 Compact View'!H128:L128)/5</x:f>
        <x:v>0</x:v>
      </x:c>
      <x:c r="D128" s="12" t="n">
        <x:f>SUM('00 Compact View'!M128:Q128)/5</x:f>
        <x:v>0.6</x:v>
      </x:c>
      <x:c r="E128" s="12" t="n">
        <x:f>'00 Compact View'!R128</x:f>
        <x:v>1</x:v>
      </x:c>
      <x:c r="F128" s="12" t="n">
        <x:f>'00 Compact View'!T128</x:f>
        <x:v>0</x:v>
      </x:c>
      <x:c r="G128" s="12" t="n">
        <x:f>'04 Resource Body'!$B$10</x:f>
        <x:v>0</x:v>
      </x:c>
      <x:c r="H128" t="n">
        <x:f>--(M128=0)</x:f>
        <x:v>0</x:v>
      </x:c>
      <x:c r="I128" t="n">
        <x:f>--(MIN(1,C128+D128+(E128*'03 Mind Knobs'!$B$17)+(F128*'03 Mind Knobs'!$B$18)+('03 Mind Knobs'!$B$7*F128))&gt;=MAX(0.15,0.35+(G128*'03 Mind Knobs'!$B$10)-('03 Mind Knobs'!$B$13*0.15)))</x:f>
        <x:v>1</x:v>
      </x:c>
      <x:c r="J128" t="n">
        <x:f>--(MIN(1,C128+D128+(E128*'03 Mind Knobs'!$B$17)+(F128*'03 Mind Knobs'!$B$18)+('03 Mind Knobs'!$B$7*F128))&gt;=MIN(0.95,'03 Mind Knobs'!$B$19+(G128*'03 Mind Knobs'!$B$10)-('03 Mind Knobs'!$B$13*0.10)))</x:f>
        <x:v>1</x:v>
      </x:c>
      <x:c r="K128" t="n">
        <x:f>--(AND(J128=1,OR(E128=1,F128=1)))</x:f>
        <x:v>1</x:v>
      </x:c>
      <x:c r="L128" t="n">
        <x:f>--(MAX(SUMIFS('00 Compact View'!$H$6:$H$205,'00 Compact View'!$A$6:$A$205,A128,'00 Compact View'!$B$6:$B$205,"&gt;="&amp;B128-'03 Mind Knobs'!$B$16+1,'00 Compact View'!$B$6:$B$205,"&lt;="&amp;B128),SUMIFS('00 Compact View'!$I$6:$I$205,'00 Compact View'!$A$6:$A$205,A128,'00 Compact View'!$B$6:$B$205,"&gt;="&amp;B128-'03 Mind Knobs'!$B$16+1,'00 Compact View'!$B$6:$B$205,"&lt;="&amp;B128),SUMIFS('00 Compact View'!$J$6:$J$205,'00 Compact View'!$A$6:$A$205,A128,'00 Compact View'!$B$6:$B$205,"&gt;="&amp;B128-'03 Mind Knobs'!$B$16+1,'00 Compact View'!$B$6:$B$205,"&lt;="&amp;B128),SUMIFS('00 Compact View'!$K$6:$K$205,'00 Compact View'!$A$6:$A$205,A128,'00 Compact View'!$B$6:$B$205,"&gt;="&amp;B128-'03 Mind Knobs'!$B$16+1,'00 Compact View'!$B$6:$B$205,"&lt;="&amp;B128),SUMIFS('00 Compact View'!$L$6:$L$205,'00 Compact View'!$A$6:$A$205,A128,'00 Compact View'!$B$6:$B$205,"&gt;="&amp;B128-'03 Mind Knobs'!$B$16+1,'00 Compact View'!$B$6:$B$205,"&lt;="&amp;B128))&gt;=MAX(1,ROUNDUP('03 Mind Knobs'!$B$16*(1-'03 Mind Knobs'!$B$8),0)))</x:f>
        <x:v>0</x:v>
      </x:c>
      <x:c r="M128" t="n">
        <x:f>--(OR(I128=1,J128=1,K128=1,L128=1))</x:f>
        <x:v>1</x:v>
      </x:c>
    </x:row>
    <x:row r="129">
      <x:c r="A129" t="n">
        <x:f>'00 Compact View'!A129</x:f>
        <x:v>7</x:v>
      </x:c>
      <x:c r="B129" t="n">
        <x:f>'00 Compact View'!B129</x:f>
        <x:v>4</x:v>
      </x:c>
      <x:c r="C129" s="12" t="n">
        <x:f>SUM('00 Compact View'!H129:L129)/5</x:f>
        <x:v>0</x:v>
      </x:c>
      <x:c r="D129" s="12" t="n">
        <x:f>SUM('00 Compact View'!M129:Q129)/5</x:f>
        <x:v>0.8</x:v>
      </x:c>
      <x:c r="E129" s="12" t="n">
        <x:f>'00 Compact View'!R129</x:f>
        <x:v>1</x:v>
      </x:c>
      <x:c r="F129" s="12" t="n">
        <x:f>'00 Compact View'!T129</x:f>
        <x:v>1</x:v>
      </x:c>
      <x:c r="G129" s="12" t="n">
        <x:f>'04 Resource Body'!$B$10</x:f>
        <x:v>0</x:v>
      </x:c>
      <x:c r="H129" t="n">
        <x:f>--(M129=0)</x:f>
        <x:v>0</x:v>
      </x:c>
      <x:c r="I129" t="n">
        <x:f>--(MIN(1,C129+D129+(E129*'03 Mind Knobs'!$B$17)+(F129*'03 Mind Knobs'!$B$18)+('03 Mind Knobs'!$B$7*F129))&gt;=MAX(0.15,0.35+(G129*'03 Mind Knobs'!$B$10)-('03 Mind Knobs'!$B$13*0.15)))</x:f>
        <x:v>1</x:v>
      </x:c>
      <x:c r="J129" t="n">
        <x:f>--(MIN(1,C129+D129+(E129*'03 Mind Knobs'!$B$17)+(F129*'03 Mind Knobs'!$B$18)+('03 Mind Knobs'!$B$7*F129))&gt;=MIN(0.95,'03 Mind Knobs'!$B$19+(G129*'03 Mind Knobs'!$B$10)-('03 Mind Knobs'!$B$13*0.10)))</x:f>
        <x:v>1</x:v>
      </x:c>
      <x:c r="K129" t="n">
        <x:f>--(AND(J129=1,OR(E129=1,F129=1)))</x:f>
        <x:v>1</x:v>
      </x:c>
      <x:c r="L129" t="n">
        <x:f>--(MAX(SUMIFS('00 Compact View'!$H$6:$H$205,'00 Compact View'!$A$6:$A$205,A129,'00 Compact View'!$B$6:$B$205,"&gt;="&amp;B129-'03 Mind Knobs'!$B$16+1,'00 Compact View'!$B$6:$B$205,"&lt;="&amp;B129),SUMIFS('00 Compact View'!$I$6:$I$205,'00 Compact View'!$A$6:$A$205,A129,'00 Compact View'!$B$6:$B$205,"&gt;="&amp;B129-'03 Mind Knobs'!$B$16+1,'00 Compact View'!$B$6:$B$205,"&lt;="&amp;B129),SUMIFS('00 Compact View'!$J$6:$J$205,'00 Compact View'!$A$6:$A$205,A129,'00 Compact View'!$B$6:$B$205,"&gt;="&amp;B129-'03 Mind Knobs'!$B$16+1,'00 Compact View'!$B$6:$B$205,"&lt;="&amp;B129),SUMIFS('00 Compact View'!$K$6:$K$205,'00 Compact View'!$A$6:$A$205,A129,'00 Compact View'!$B$6:$B$205,"&gt;="&amp;B129-'03 Mind Knobs'!$B$16+1,'00 Compact View'!$B$6:$B$205,"&lt;="&amp;B129),SUMIFS('00 Compact View'!$L$6:$L$205,'00 Compact View'!$A$6:$A$205,A129,'00 Compact View'!$B$6:$B$205,"&gt;="&amp;B129-'03 Mind Knobs'!$B$16+1,'00 Compact View'!$B$6:$B$205,"&lt;="&amp;B129))&gt;=MAX(1,ROUNDUP('03 Mind Knobs'!$B$16*(1-'03 Mind Knobs'!$B$8),0)))</x:f>
        <x:v>0</x:v>
      </x:c>
      <x:c r="M129" t="n">
        <x:f>--(OR(I129=1,J129=1,K129=1,L129=1))</x:f>
        <x:v>1</x:v>
      </x:c>
    </x:row>
    <x:row r="130">
      <x:c r="A130" t="n">
        <x:f>'00 Compact View'!A130</x:f>
        <x:v>7</x:v>
      </x:c>
      <x:c r="B130" t="n">
        <x:f>'00 Compact View'!B130</x:f>
        <x:v>5</x:v>
      </x:c>
      <x:c r="C130" s="12" t="n">
        <x:f>SUM('00 Compact View'!H130:L130)/5</x:f>
        <x:v>0</x:v>
      </x:c>
      <x:c r="D130" s="12" t="n">
        <x:f>SUM('00 Compact View'!M130:Q130)/5</x:f>
        <x:v>0.4</x:v>
      </x:c>
      <x:c r="E130" s="12" t="n">
        <x:f>'00 Compact View'!R130</x:f>
        <x:v>1</x:v>
      </x:c>
      <x:c r="F130" s="12" t="n">
        <x:f>'00 Compact View'!T130</x:f>
        <x:v>1</x:v>
      </x:c>
      <x:c r="G130" s="12" t="n">
        <x:f>'04 Resource Body'!$B$10</x:f>
        <x:v>0</x:v>
      </x:c>
      <x:c r="H130" t="n">
        <x:f>--(M130=0)</x:f>
        <x:v>0</x:v>
      </x:c>
      <x:c r="I130" t="n">
        <x:f>--(MIN(1,C130+D130+(E130*'03 Mind Knobs'!$B$17)+(F130*'03 Mind Knobs'!$B$18)+('03 Mind Knobs'!$B$7*F130))&gt;=MAX(0.15,0.35+(G130*'03 Mind Knobs'!$B$10)-('03 Mind Knobs'!$B$13*0.15)))</x:f>
        <x:v>1</x:v>
      </x:c>
      <x:c r="J130" t="n">
        <x:f>--(MIN(1,C130+D130+(E130*'03 Mind Knobs'!$B$17)+(F130*'03 Mind Knobs'!$B$18)+('03 Mind Knobs'!$B$7*F130))&gt;=MIN(0.95,'03 Mind Knobs'!$B$19+(G130*'03 Mind Knobs'!$B$10)-('03 Mind Knobs'!$B$13*0.10)))</x:f>
        <x:v>1</x:v>
      </x:c>
      <x:c r="K130" t="n">
        <x:f>--(AND(J130=1,OR(E130=1,F130=1)))</x:f>
        <x:v>1</x:v>
      </x:c>
      <x:c r="L130" t="n">
        <x:f>--(MAX(SUMIFS('00 Compact View'!$H$6:$H$205,'00 Compact View'!$A$6:$A$205,A130,'00 Compact View'!$B$6:$B$205,"&gt;="&amp;B130-'03 Mind Knobs'!$B$16+1,'00 Compact View'!$B$6:$B$205,"&lt;="&amp;B130),SUMIFS('00 Compact View'!$I$6:$I$205,'00 Compact View'!$A$6:$A$205,A130,'00 Compact View'!$B$6:$B$205,"&gt;="&amp;B130-'03 Mind Knobs'!$B$16+1,'00 Compact View'!$B$6:$B$205,"&lt;="&amp;B130),SUMIFS('00 Compact View'!$J$6:$J$205,'00 Compact View'!$A$6:$A$205,A130,'00 Compact View'!$B$6:$B$205,"&gt;="&amp;B130-'03 Mind Knobs'!$B$16+1,'00 Compact View'!$B$6:$B$205,"&lt;="&amp;B130),SUMIFS('00 Compact View'!$K$6:$K$205,'00 Compact View'!$A$6:$A$205,A130,'00 Compact View'!$B$6:$B$205,"&gt;="&amp;B130-'03 Mind Knobs'!$B$16+1,'00 Compact View'!$B$6:$B$205,"&lt;="&amp;B130),SUMIFS('00 Compact View'!$L$6:$L$205,'00 Compact View'!$A$6:$A$205,A130,'00 Compact View'!$B$6:$B$205,"&gt;="&amp;B130-'03 Mind Knobs'!$B$16+1,'00 Compact View'!$B$6:$B$205,"&lt;="&amp;B130))&gt;=MAX(1,ROUNDUP('03 Mind Knobs'!$B$16*(1-'03 Mind Knobs'!$B$8),0)))</x:f>
        <x:v>0</x:v>
      </x:c>
      <x:c r="M130" t="n">
        <x:f>--(OR(I130=1,J130=1,K130=1,L130=1))</x:f>
        <x:v>1</x:v>
      </x:c>
    </x:row>
    <x:row r="131">
      <x:c r="A131" t="n">
        <x:f>'00 Compact View'!A131</x:f>
        <x:v>7</x:v>
      </x:c>
      <x:c r="B131" t="n">
        <x:f>'00 Compact View'!B131</x:f>
        <x:v>6</x:v>
      </x:c>
      <x:c r="C131" s="12" t="n">
        <x:f>SUM('00 Compact View'!H131:L131)/5</x:f>
        <x:v>0</x:v>
      </x:c>
      <x:c r="D131" s="12" t="n">
        <x:f>SUM('00 Compact View'!M131:Q131)/5</x:f>
        <x:v>0.8</x:v>
      </x:c>
      <x:c r="E131" s="12" t="n">
        <x:f>'00 Compact View'!R131</x:f>
        <x:v>1</x:v>
      </x:c>
      <x:c r="F131" s="12" t="n">
        <x:f>'00 Compact View'!T131</x:f>
        <x:v>1</x:v>
      </x:c>
      <x:c r="G131" s="12" t="n">
        <x:f>'04 Resource Body'!$B$10</x:f>
        <x:v>0</x:v>
      </x:c>
      <x:c r="H131" t="n">
        <x:f>--(M131=0)</x:f>
        <x:v>0</x:v>
      </x:c>
      <x:c r="I131" t="n">
        <x:f>--(MIN(1,C131+D131+(E131*'03 Mind Knobs'!$B$17)+(F131*'03 Mind Knobs'!$B$18)+('03 Mind Knobs'!$B$7*F131))&gt;=MAX(0.15,0.35+(G131*'03 Mind Knobs'!$B$10)-('03 Mind Knobs'!$B$13*0.15)))</x:f>
        <x:v>1</x:v>
      </x:c>
      <x:c r="J131" t="n">
        <x:f>--(MIN(1,C131+D131+(E131*'03 Mind Knobs'!$B$17)+(F131*'03 Mind Knobs'!$B$18)+('03 Mind Knobs'!$B$7*F131))&gt;=MIN(0.95,'03 Mind Knobs'!$B$19+(G131*'03 Mind Knobs'!$B$10)-('03 Mind Knobs'!$B$13*0.10)))</x:f>
        <x:v>1</x:v>
      </x:c>
      <x:c r="K131" t="n">
        <x:f>--(AND(J131=1,OR(E131=1,F131=1)))</x:f>
        <x:v>1</x:v>
      </x:c>
      <x:c r="L131" t="n">
        <x:f>--(MAX(SUMIFS('00 Compact View'!$H$6:$H$205,'00 Compact View'!$A$6:$A$205,A131,'00 Compact View'!$B$6:$B$205,"&gt;="&amp;B131-'03 Mind Knobs'!$B$16+1,'00 Compact View'!$B$6:$B$205,"&lt;="&amp;B131),SUMIFS('00 Compact View'!$I$6:$I$205,'00 Compact View'!$A$6:$A$205,A131,'00 Compact View'!$B$6:$B$205,"&gt;="&amp;B131-'03 Mind Knobs'!$B$16+1,'00 Compact View'!$B$6:$B$205,"&lt;="&amp;B131),SUMIFS('00 Compact View'!$J$6:$J$205,'00 Compact View'!$A$6:$A$205,A131,'00 Compact View'!$B$6:$B$205,"&gt;="&amp;B131-'03 Mind Knobs'!$B$16+1,'00 Compact View'!$B$6:$B$205,"&lt;="&amp;B131),SUMIFS('00 Compact View'!$K$6:$K$205,'00 Compact View'!$A$6:$A$205,A131,'00 Compact View'!$B$6:$B$205,"&gt;="&amp;B131-'03 Mind Knobs'!$B$16+1,'00 Compact View'!$B$6:$B$205,"&lt;="&amp;B131),SUMIFS('00 Compact View'!$L$6:$L$205,'00 Compact View'!$A$6:$A$205,A131,'00 Compact View'!$B$6:$B$205,"&gt;="&amp;B131-'03 Mind Knobs'!$B$16+1,'00 Compact View'!$B$6:$B$205,"&lt;="&amp;B131))&gt;=MAX(1,ROUNDUP('03 Mind Knobs'!$B$16*(1-'03 Mind Knobs'!$B$8),0)))</x:f>
        <x:v>0</x:v>
      </x:c>
      <x:c r="M131" t="n">
        <x:f>--(OR(I131=1,J131=1,K131=1,L131=1))</x:f>
        <x:v>1</x:v>
      </x:c>
    </x:row>
    <x:row r="132">
      <x:c r="A132" t="n">
        <x:f>'00 Compact View'!A132</x:f>
        <x:v>7</x:v>
      </x:c>
      <x:c r="B132" t="n">
        <x:f>'00 Compact View'!B132</x:f>
        <x:v>7</x:v>
      </x:c>
      <x:c r="C132" s="12" t="n">
        <x:f>SUM('00 Compact View'!H132:L132)/5</x:f>
        <x:v>0</x:v>
      </x:c>
      <x:c r="D132" s="12" t="n">
        <x:f>SUM('00 Compact View'!M132:Q132)/5</x:f>
        <x:v>0.6</x:v>
      </x:c>
      <x:c r="E132" s="12" t="n">
        <x:f>'00 Compact View'!R132</x:f>
        <x:v>1</x:v>
      </x:c>
      <x:c r="F132" s="12" t="n">
        <x:f>'00 Compact View'!T132</x:f>
        <x:v>1</x:v>
      </x:c>
      <x:c r="G132" s="12" t="n">
        <x:f>'04 Resource Body'!$B$10</x:f>
        <x:v>0</x:v>
      </x:c>
      <x:c r="H132" t="n">
        <x:f>--(M132=0)</x:f>
        <x:v>0</x:v>
      </x:c>
      <x:c r="I132" t="n">
        <x:f>--(MIN(1,C132+D132+(E132*'03 Mind Knobs'!$B$17)+(F132*'03 Mind Knobs'!$B$18)+('03 Mind Knobs'!$B$7*F132))&gt;=MAX(0.15,0.35+(G132*'03 Mind Knobs'!$B$10)-('03 Mind Knobs'!$B$13*0.15)))</x:f>
        <x:v>1</x:v>
      </x:c>
      <x:c r="J132" t="n">
        <x:f>--(MIN(1,C132+D132+(E132*'03 Mind Knobs'!$B$17)+(F132*'03 Mind Knobs'!$B$18)+('03 Mind Knobs'!$B$7*F132))&gt;=MIN(0.95,'03 Mind Knobs'!$B$19+(G132*'03 Mind Knobs'!$B$10)-('03 Mind Knobs'!$B$13*0.10)))</x:f>
        <x:v>1</x:v>
      </x:c>
      <x:c r="K132" t="n">
        <x:f>--(AND(J132=1,OR(E132=1,F132=1)))</x:f>
        <x:v>1</x:v>
      </x:c>
      <x:c r="L132" t="n">
        <x:f>--(MAX(SUMIFS('00 Compact View'!$H$6:$H$205,'00 Compact View'!$A$6:$A$205,A132,'00 Compact View'!$B$6:$B$205,"&gt;="&amp;B132-'03 Mind Knobs'!$B$16+1,'00 Compact View'!$B$6:$B$205,"&lt;="&amp;B132),SUMIFS('00 Compact View'!$I$6:$I$205,'00 Compact View'!$A$6:$A$205,A132,'00 Compact View'!$B$6:$B$205,"&gt;="&amp;B132-'03 Mind Knobs'!$B$16+1,'00 Compact View'!$B$6:$B$205,"&lt;="&amp;B132),SUMIFS('00 Compact View'!$J$6:$J$205,'00 Compact View'!$A$6:$A$205,A132,'00 Compact View'!$B$6:$B$205,"&gt;="&amp;B132-'03 Mind Knobs'!$B$16+1,'00 Compact View'!$B$6:$B$205,"&lt;="&amp;B132),SUMIFS('00 Compact View'!$K$6:$K$205,'00 Compact View'!$A$6:$A$205,A132,'00 Compact View'!$B$6:$B$205,"&gt;="&amp;B132-'03 Mind Knobs'!$B$16+1,'00 Compact View'!$B$6:$B$205,"&lt;="&amp;B132),SUMIFS('00 Compact View'!$L$6:$L$205,'00 Compact View'!$A$6:$A$205,A132,'00 Compact View'!$B$6:$B$205,"&gt;="&amp;B132-'03 Mind Knobs'!$B$16+1,'00 Compact View'!$B$6:$B$205,"&lt;="&amp;B132))&gt;=MAX(1,ROUNDUP('03 Mind Knobs'!$B$16*(1-'03 Mind Knobs'!$B$8),0)))</x:f>
        <x:v>0</x:v>
      </x:c>
      <x:c r="M132" t="n">
        <x:f>--(OR(I132=1,J132=1,K132=1,L132=1))</x:f>
        <x:v>1</x:v>
      </x:c>
    </x:row>
    <x:row r="133">
      <x:c r="A133" t="n">
        <x:f>'00 Compact View'!A133</x:f>
        <x:v>7</x:v>
      </x:c>
      <x:c r="B133" t="n">
        <x:f>'00 Compact View'!B133</x:f>
        <x:v>8</x:v>
      </x:c>
      <x:c r="C133" s="12" t="n">
        <x:f>SUM('00 Compact View'!H133:L133)/5</x:f>
        <x:v>0</x:v>
      </x:c>
      <x:c r="D133" s="12" t="n">
        <x:f>SUM('00 Compact View'!M133:Q133)/5</x:f>
        <x:v>0.6</x:v>
      </x:c>
      <x:c r="E133" s="12" t="n">
        <x:f>'00 Compact View'!R133</x:f>
        <x:v>1</x:v>
      </x:c>
      <x:c r="F133" s="12" t="n">
        <x:f>'00 Compact View'!T133</x:f>
        <x:v>0</x:v>
      </x:c>
      <x:c r="G133" s="12" t="n">
        <x:f>'04 Resource Body'!$B$10</x:f>
        <x:v>0</x:v>
      </x:c>
      <x:c r="H133" t="n">
        <x:f>--(M133=0)</x:f>
        <x:v>0</x:v>
      </x:c>
      <x:c r="I133" t="n">
        <x:f>--(MIN(1,C133+D133+(E133*'03 Mind Knobs'!$B$17)+(F133*'03 Mind Knobs'!$B$18)+('03 Mind Knobs'!$B$7*F133))&gt;=MAX(0.15,0.35+(G133*'03 Mind Knobs'!$B$10)-('03 Mind Knobs'!$B$13*0.15)))</x:f>
        <x:v>1</x:v>
      </x:c>
      <x:c r="J133" t="n">
        <x:f>--(MIN(1,C133+D133+(E133*'03 Mind Knobs'!$B$17)+(F133*'03 Mind Knobs'!$B$18)+('03 Mind Knobs'!$B$7*F133))&gt;=MIN(0.95,'03 Mind Knobs'!$B$19+(G133*'03 Mind Knobs'!$B$10)-('03 Mind Knobs'!$B$13*0.10)))</x:f>
        <x:v>1</x:v>
      </x:c>
      <x:c r="K133" t="n">
        <x:f>--(AND(J133=1,OR(E133=1,F133=1)))</x:f>
        <x:v>1</x:v>
      </x:c>
      <x:c r="L133" t="n">
        <x:f>--(MAX(SUMIFS('00 Compact View'!$H$6:$H$205,'00 Compact View'!$A$6:$A$205,A133,'00 Compact View'!$B$6:$B$205,"&gt;="&amp;B133-'03 Mind Knobs'!$B$16+1,'00 Compact View'!$B$6:$B$205,"&lt;="&amp;B133),SUMIFS('00 Compact View'!$I$6:$I$205,'00 Compact View'!$A$6:$A$205,A133,'00 Compact View'!$B$6:$B$205,"&gt;="&amp;B133-'03 Mind Knobs'!$B$16+1,'00 Compact View'!$B$6:$B$205,"&lt;="&amp;B133),SUMIFS('00 Compact View'!$J$6:$J$205,'00 Compact View'!$A$6:$A$205,A133,'00 Compact View'!$B$6:$B$205,"&gt;="&amp;B133-'03 Mind Knobs'!$B$16+1,'00 Compact View'!$B$6:$B$205,"&lt;="&amp;B133),SUMIFS('00 Compact View'!$K$6:$K$205,'00 Compact View'!$A$6:$A$205,A133,'00 Compact View'!$B$6:$B$205,"&gt;="&amp;B133-'03 Mind Knobs'!$B$16+1,'00 Compact View'!$B$6:$B$205,"&lt;="&amp;B133),SUMIFS('00 Compact View'!$L$6:$L$205,'00 Compact View'!$A$6:$A$205,A133,'00 Compact View'!$B$6:$B$205,"&gt;="&amp;B133-'03 Mind Knobs'!$B$16+1,'00 Compact View'!$B$6:$B$205,"&lt;="&amp;B133))&gt;=MAX(1,ROUNDUP('03 Mind Knobs'!$B$16*(1-'03 Mind Knobs'!$B$8),0)))</x:f>
        <x:v>0</x:v>
      </x:c>
      <x:c r="M133" t="n">
        <x:f>--(OR(I133=1,J133=1,K133=1,L133=1))</x:f>
        <x:v>1</x:v>
      </x:c>
    </x:row>
    <x:row r="134">
      <x:c r="A134" t="n">
        <x:f>'00 Compact View'!A134</x:f>
        <x:v>7</x:v>
      </x:c>
      <x:c r="B134" t="n">
        <x:f>'00 Compact View'!B134</x:f>
        <x:v>9</x:v>
      </x:c>
      <x:c r="C134" s="12" t="n">
        <x:f>SUM('00 Compact View'!H134:L134)/5</x:f>
        <x:v>0</x:v>
      </x:c>
      <x:c r="D134" s="12" t="n">
        <x:f>SUM('00 Compact View'!M134:Q134)/5</x:f>
        <x:v>0.4</x:v>
      </x:c>
      <x:c r="E134" s="12" t="n">
        <x:f>'00 Compact View'!R134</x:f>
        <x:v>1</x:v>
      </x:c>
      <x:c r="F134" s="12" t="n">
        <x:f>'00 Compact View'!T134</x:f>
        <x:v>1</x:v>
      </x:c>
      <x:c r="G134" s="12" t="n">
        <x:f>'04 Resource Body'!$B$10</x:f>
        <x:v>0</x:v>
      </x:c>
      <x:c r="H134" t="n">
        <x:f>--(M134=0)</x:f>
        <x:v>0</x:v>
      </x:c>
      <x:c r="I134" t="n">
        <x:f>--(MIN(1,C134+D134+(E134*'03 Mind Knobs'!$B$17)+(F134*'03 Mind Knobs'!$B$18)+('03 Mind Knobs'!$B$7*F134))&gt;=MAX(0.15,0.35+(G134*'03 Mind Knobs'!$B$10)-('03 Mind Knobs'!$B$13*0.15)))</x:f>
        <x:v>1</x:v>
      </x:c>
      <x:c r="J134" t="n">
        <x:f>--(MIN(1,C134+D134+(E134*'03 Mind Knobs'!$B$17)+(F134*'03 Mind Knobs'!$B$18)+('03 Mind Knobs'!$B$7*F134))&gt;=MIN(0.95,'03 Mind Knobs'!$B$19+(G134*'03 Mind Knobs'!$B$10)-('03 Mind Knobs'!$B$13*0.10)))</x:f>
        <x:v>1</x:v>
      </x:c>
      <x:c r="K134" t="n">
        <x:f>--(AND(J134=1,OR(E134=1,F134=1)))</x:f>
        <x:v>1</x:v>
      </x:c>
      <x:c r="L134" t="n">
        <x:f>--(MAX(SUMIFS('00 Compact View'!$H$6:$H$205,'00 Compact View'!$A$6:$A$205,A134,'00 Compact View'!$B$6:$B$205,"&gt;="&amp;B134-'03 Mind Knobs'!$B$16+1,'00 Compact View'!$B$6:$B$205,"&lt;="&amp;B134),SUMIFS('00 Compact View'!$I$6:$I$205,'00 Compact View'!$A$6:$A$205,A134,'00 Compact View'!$B$6:$B$205,"&gt;="&amp;B134-'03 Mind Knobs'!$B$16+1,'00 Compact View'!$B$6:$B$205,"&lt;="&amp;B134),SUMIFS('00 Compact View'!$J$6:$J$205,'00 Compact View'!$A$6:$A$205,A134,'00 Compact View'!$B$6:$B$205,"&gt;="&amp;B134-'03 Mind Knobs'!$B$16+1,'00 Compact View'!$B$6:$B$205,"&lt;="&amp;B134),SUMIFS('00 Compact View'!$K$6:$K$205,'00 Compact View'!$A$6:$A$205,A134,'00 Compact View'!$B$6:$B$205,"&gt;="&amp;B134-'03 Mind Knobs'!$B$16+1,'00 Compact View'!$B$6:$B$205,"&lt;="&amp;B134),SUMIFS('00 Compact View'!$L$6:$L$205,'00 Compact View'!$A$6:$A$205,A134,'00 Compact View'!$B$6:$B$205,"&gt;="&amp;B134-'03 Mind Knobs'!$B$16+1,'00 Compact View'!$B$6:$B$205,"&lt;="&amp;B134))&gt;=MAX(1,ROUNDUP('03 Mind Knobs'!$B$16*(1-'03 Mind Knobs'!$B$8),0)))</x:f>
        <x:v>0</x:v>
      </x:c>
      <x:c r="M134" t="n">
        <x:f>--(OR(I134=1,J134=1,K134=1,L134=1))</x:f>
        <x:v>1</x:v>
      </x:c>
    </x:row>
    <x:row r="135">
      <x:c r="A135" t="n">
        <x:f>'00 Compact View'!A135</x:f>
        <x:v>7</x:v>
      </x:c>
      <x:c r="B135" t="n">
        <x:f>'00 Compact View'!B135</x:f>
        <x:v>10</x:v>
      </x:c>
      <x:c r="C135" s="12" t="n">
        <x:f>SUM('00 Compact View'!H135:L135)/5</x:f>
        <x:v>0</x:v>
      </x:c>
      <x:c r="D135" s="12" t="n">
        <x:f>SUM('00 Compact View'!M135:Q135)/5</x:f>
        <x:v>0.8</x:v>
      </x:c>
      <x:c r="E135" s="12" t="n">
        <x:f>'00 Compact View'!R135</x:f>
        <x:v>1</x:v>
      </x:c>
      <x:c r="F135" s="12" t="n">
        <x:f>'00 Compact View'!T135</x:f>
        <x:v>1</x:v>
      </x:c>
      <x:c r="G135" s="12" t="n">
        <x:f>'04 Resource Body'!$B$10</x:f>
        <x:v>0</x:v>
      </x:c>
      <x:c r="H135" t="n">
        <x:f>--(M135=0)</x:f>
        <x:v>0</x:v>
      </x:c>
      <x:c r="I135" t="n">
        <x:f>--(MIN(1,C135+D135+(E135*'03 Mind Knobs'!$B$17)+(F135*'03 Mind Knobs'!$B$18)+('03 Mind Knobs'!$B$7*F135))&gt;=MAX(0.15,0.35+(G135*'03 Mind Knobs'!$B$10)-('03 Mind Knobs'!$B$13*0.15)))</x:f>
        <x:v>1</x:v>
      </x:c>
      <x:c r="J135" t="n">
        <x:f>--(MIN(1,C135+D135+(E135*'03 Mind Knobs'!$B$17)+(F135*'03 Mind Knobs'!$B$18)+('03 Mind Knobs'!$B$7*F135))&gt;=MIN(0.95,'03 Mind Knobs'!$B$19+(G135*'03 Mind Knobs'!$B$10)-('03 Mind Knobs'!$B$13*0.10)))</x:f>
        <x:v>1</x:v>
      </x:c>
      <x:c r="K135" t="n">
        <x:f>--(AND(J135=1,OR(E135=1,F135=1)))</x:f>
        <x:v>1</x:v>
      </x:c>
      <x:c r="L135" t="n">
        <x:f>--(MAX(SUMIFS('00 Compact View'!$H$6:$H$205,'00 Compact View'!$A$6:$A$205,A135,'00 Compact View'!$B$6:$B$205,"&gt;="&amp;B135-'03 Mind Knobs'!$B$16+1,'00 Compact View'!$B$6:$B$205,"&lt;="&amp;B135),SUMIFS('00 Compact View'!$I$6:$I$205,'00 Compact View'!$A$6:$A$205,A135,'00 Compact View'!$B$6:$B$205,"&gt;="&amp;B135-'03 Mind Knobs'!$B$16+1,'00 Compact View'!$B$6:$B$205,"&lt;="&amp;B135),SUMIFS('00 Compact View'!$J$6:$J$205,'00 Compact View'!$A$6:$A$205,A135,'00 Compact View'!$B$6:$B$205,"&gt;="&amp;B135-'03 Mind Knobs'!$B$16+1,'00 Compact View'!$B$6:$B$205,"&lt;="&amp;B135),SUMIFS('00 Compact View'!$K$6:$K$205,'00 Compact View'!$A$6:$A$205,A135,'00 Compact View'!$B$6:$B$205,"&gt;="&amp;B135-'03 Mind Knobs'!$B$16+1,'00 Compact View'!$B$6:$B$205,"&lt;="&amp;B135),SUMIFS('00 Compact View'!$L$6:$L$205,'00 Compact View'!$A$6:$A$205,A135,'00 Compact View'!$B$6:$B$205,"&gt;="&amp;B135-'03 Mind Knobs'!$B$16+1,'00 Compact View'!$B$6:$B$205,"&lt;="&amp;B135))&gt;=MAX(1,ROUNDUP('03 Mind Knobs'!$B$16*(1-'03 Mind Knobs'!$B$8),0)))</x:f>
        <x:v>0</x:v>
      </x:c>
      <x:c r="M135" t="n">
        <x:f>--(OR(I135=1,J135=1,K135=1,L135=1))</x:f>
        <x:v>1</x:v>
      </x:c>
    </x:row>
    <x:row r="136">
      <x:c r="A136" t="n">
        <x:f>'00 Compact View'!A136</x:f>
        <x:v>7</x:v>
      </x:c>
      <x:c r="B136" t="n">
        <x:f>'00 Compact View'!B136</x:f>
        <x:v>11</x:v>
      </x:c>
      <x:c r="C136" s="12" t="n">
        <x:f>SUM('00 Compact View'!H136:L136)/5</x:f>
        <x:v>0</x:v>
      </x:c>
      <x:c r="D136" s="12" t="n">
        <x:f>SUM('00 Compact View'!M136:Q136)/5</x:f>
        <x:v>0.4</x:v>
      </x:c>
      <x:c r="E136" s="12" t="n">
        <x:f>'00 Compact View'!R136</x:f>
        <x:v>1</x:v>
      </x:c>
      <x:c r="F136" s="12" t="n">
        <x:f>'00 Compact View'!T136</x:f>
        <x:v>1</x:v>
      </x:c>
      <x:c r="G136" s="12" t="n">
        <x:f>'04 Resource Body'!$B$10</x:f>
        <x:v>0</x:v>
      </x:c>
      <x:c r="H136" t="n">
        <x:f>--(M136=0)</x:f>
        <x:v>0</x:v>
      </x:c>
      <x:c r="I136" t="n">
        <x:f>--(MIN(1,C136+D136+(E136*'03 Mind Knobs'!$B$17)+(F136*'03 Mind Knobs'!$B$18)+('03 Mind Knobs'!$B$7*F136))&gt;=MAX(0.15,0.35+(G136*'03 Mind Knobs'!$B$10)-('03 Mind Knobs'!$B$13*0.15)))</x:f>
        <x:v>1</x:v>
      </x:c>
      <x:c r="J136" t="n">
        <x:f>--(MIN(1,C136+D136+(E136*'03 Mind Knobs'!$B$17)+(F136*'03 Mind Knobs'!$B$18)+('03 Mind Knobs'!$B$7*F136))&gt;=MIN(0.95,'03 Mind Knobs'!$B$19+(G136*'03 Mind Knobs'!$B$10)-('03 Mind Knobs'!$B$13*0.10)))</x:f>
        <x:v>1</x:v>
      </x:c>
      <x:c r="K136" t="n">
        <x:f>--(AND(J136=1,OR(E136=1,F136=1)))</x:f>
        <x:v>1</x:v>
      </x:c>
      <x:c r="L136" t="n">
        <x:f>--(MAX(SUMIFS('00 Compact View'!$H$6:$H$205,'00 Compact View'!$A$6:$A$205,A136,'00 Compact View'!$B$6:$B$205,"&gt;="&amp;B136-'03 Mind Knobs'!$B$16+1,'00 Compact View'!$B$6:$B$205,"&lt;="&amp;B136),SUMIFS('00 Compact View'!$I$6:$I$205,'00 Compact View'!$A$6:$A$205,A136,'00 Compact View'!$B$6:$B$205,"&gt;="&amp;B136-'03 Mind Knobs'!$B$16+1,'00 Compact View'!$B$6:$B$205,"&lt;="&amp;B136),SUMIFS('00 Compact View'!$J$6:$J$205,'00 Compact View'!$A$6:$A$205,A136,'00 Compact View'!$B$6:$B$205,"&gt;="&amp;B136-'03 Mind Knobs'!$B$16+1,'00 Compact View'!$B$6:$B$205,"&lt;="&amp;B136),SUMIFS('00 Compact View'!$K$6:$K$205,'00 Compact View'!$A$6:$A$205,A136,'00 Compact View'!$B$6:$B$205,"&gt;="&amp;B136-'03 Mind Knobs'!$B$16+1,'00 Compact View'!$B$6:$B$205,"&lt;="&amp;B136),SUMIFS('00 Compact View'!$L$6:$L$205,'00 Compact View'!$A$6:$A$205,A136,'00 Compact View'!$B$6:$B$205,"&gt;="&amp;B136-'03 Mind Knobs'!$B$16+1,'00 Compact View'!$B$6:$B$205,"&lt;="&amp;B136))&gt;=MAX(1,ROUNDUP('03 Mind Knobs'!$B$16*(1-'03 Mind Knobs'!$B$8),0)))</x:f>
        <x:v>0</x:v>
      </x:c>
      <x:c r="M136" t="n">
        <x:f>--(OR(I136=1,J136=1,K136=1,L136=1))</x:f>
        <x:v>1</x:v>
      </x:c>
    </x:row>
    <x:row r="137">
      <x:c r="A137" t="n">
        <x:f>'00 Compact View'!A137</x:f>
        <x:v>7</x:v>
      </x:c>
      <x:c r="B137" t="n">
        <x:f>'00 Compact View'!B137</x:f>
        <x:v>12</x:v>
      </x:c>
      <x:c r="C137" s="12" t="n">
        <x:f>SUM('00 Compact View'!H137:L137)/5</x:f>
        <x:v>0</x:v>
      </x:c>
      <x:c r="D137" s="12" t="n">
        <x:f>SUM('00 Compact View'!M137:Q137)/5</x:f>
        <x:v>0.6</x:v>
      </x:c>
      <x:c r="E137" s="12" t="n">
        <x:f>'00 Compact View'!R137</x:f>
        <x:v>1</x:v>
      </x:c>
      <x:c r="F137" s="12" t="n">
        <x:f>'00 Compact View'!T137</x:f>
        <x:v>1</x:v>
      </x:c>
      <x:c r="G137" s="12" t="n">
        <x:f>'04 Resource Body'!$B$10</x:f>
        <x:v>0</x:v>
      </x:c>
      <x:c r="H137" t="n">
        <x:f>--(M137=0)</x:f>
        <x:v>0</x:v>
      </x:c>
      <x:c r="I137" t="n">
        <x:f>--(MIN(1,C137+D137+(E137*'03 Mind Knobs'!$B$17)+(F137*'03 Mind Knobs'!$B$18)+('03 Mind Knobs'!$B$7*F137))&gt;=MAX(0.15,0.35+(G137*'03 Mind Knobs'!$B$10)-('03 Mind Knobs'!$B$13*0.15)))</x:f>
        <x:v>1</x:v>
      </x:c>
      <x:c r="J137" t="n">
        <x:f>--(MIN(1,C137+D137+(E137*'03 Mind Knobs'!$B$17)+(F137*'03 Mind Knobs'!$B$18)+('03 Mind Knobs'!$B$7*F137))&gt;=MIN(0.95,'03 Mind Knobs'!$B$19+(G137*'03 Mind Knobs'!$B$10)-('03 Mind Knobs'!$B$13*0.10)))</x:f>
        <x:v>1</x:v>
      </x:c>
      <x:c r="K137" t="n">
        <x:f>--(AND(J137=1,OR(E137=1,F137=1)))</x:f>
        <x:v>1</x:v>
      </x:c>
      <x:c r="L137" t="n">
        <x:f>--(MAX(SUMIFS('00 Compact View'!$H$6:$H$205,'00 Compact View'!$A$6:$A$205,A137,'00 Compact View'!$B$6:$B$205,"&gt;="&amp;B137-'03 Mind Knobs'!$B$16+1,'00 Compact View'!$B$6:$B$205,"&lt;="&amp;B137),SUMIFS('00 Compact View'!$I$6:$I$205,'00 Compact View'!$A$6:$A$205,A137,'00 Compact View'!$B$6:$B$205,"&gt;="&amp;B137-'03 Mind Knobs'!$B$16+1,'00 Compact View'!$B$6:$B$205,"&lt;="&amp;B137),SUMIFS('00 Compact View'!$J$6:$J$205,'00 Compact View'!$A$6:$A$205,A137,'00 Compact View'!$B$6:$B$205,"&gt;="&amp;B137-'03 Mind Knobs'!$B$16+1,'00 Compact View'!$B$6:$B$205,"&lt;="&amp;B137),SUMIFS('00 Compact View'!$K$6:$K$205,'00 Compact View'!$A$6:$A$205,A137,'00 Compact View'!$B$6:$B$205,"&gt;="&amp;B137-'03 Mind Knobs'!$B$16+1,'00 Compact View'!$B$6:$B$205,"&lt;="&amp;B137),SUMIFS('00 Compact View'!$L$6:$L$205,'00 Compact View'!$A$6:$A$205,A137,'00 Compact View'!$B$6:$B$205,"&gt;="&amp;B137-'03 Mind Knobs'!$B$16+1,'00 Compact View'!$B$6:$B$205,"&lt;="&amp;B137))&gt;=MAX(1,ROUNDUP('03 Mind Knobs'!$B$16*(1-'03 Mind Knobs'!$B$8),0)))</x:f>
        <x:v>0</x:v>
      </x:c>
      <x:c r="M137" t="n">
        <x:f>--(OR(I137=1,J137=1,K137=1,L137=1))</x:f>
        <x:v>1</x:v>
      </x:c>
    </x:row>
    <x:row r="138">
      <x:c r="A138" t="n">
        <x:f>'00 Compact View'!A138</x:f>
        <x:v>7</x:v>
      </x:c>
      <x:c r="B138" t="n">
        <x:f>'00 Compact View'!B138</x:f>
        <x:v>13</x:v>
      </x:c>
      <x:c r="C138" s="12" t="n">
        <x:f>SUM('00 Compact View'!H138:L138)/5</x:f>
        <x:v>0</x:v>
      </x:c>
      <x:c r="D138" s="12" t="n">
        <x:f>SUM('00 Compact View'!M138:Q138)/5</x:f>
        <x:v>0.6</x:v>
      </x:c>
      <x:c r="E138" s="12" t="n">
        <x:f>'00 Compact View'!R138</x:f>
        <x:v>1</x:v>
      </x:c>
      <x:c r="F138" s="12" t="n">
        <x:f>'00 Compact View'!T138</x:f>
        <x:v>0</x:v>
      </x:c>
      <x:c r="G138" s="12" t="n">
        <x:f>'04 Resource Body'!$B$10</x:f>
        <x:v>0</x:v>
      </x:c>
      <x:c r="H138" t="n">
        <x:f>--(M138=0)</x:f>
        <x:v>0</x:v>
      </x:c>
      <x:c r="I138" t="n">
        <x:f>--(MIN(1,C138+D138+(E138*'03 Mind Knobs'!$B$17)+(F138*'03 Mind Knobs'!$B$18)+('03 Mind Knobs'!$B$7*F138))&gt;=MAX(0.15,0.35+(G138*'03 Mind Knobs'!$B$10)-('03 Mind Knobs'!$B$13*0.15)))</x:f>
        <x:v>1</x:v>
      </x:c>
      <x:c r="J138" t="n">
        <x:f>--(MIN(1,C138+D138+(E138*'03 Mind Knobs'!$B$17)+(F138*'03 Mind Knobs'!$B$18)+('03 Mind Knobs'!$B$7*F138))&gt;=MIN(0.95,'03 Mind Knobs'!$B$19+(G138*'03 Mind Knobs'!$B$10)-('03 Mind Knobs'!$B$13*0.10)))</x:f>
        <x:v>1</x:v>
      </x:c>
      <x:c r="K138" t="n">
        <x:f>--(AND(J138=1,OR(E138=1,F138=1)))</x:f>
        <x:v>1</x:v>
      </x:c>
      <x:c r="L138" t="n">
        <x:f>--(MAX(SUMIFS('00 Compact View'!$H$6:$H$205,'00 Compact View'!$A$6:$A$205,A138,'00 Compact View'!$B$6:$B$205,"&gt;="&amp;B138-'03 Mind Knobs'!$B$16+1,'00 Compact View'!$B$6:$B$205,"&lt;="&amp;B138),SUMIFS('00 Compact View'!$I$6:$I$205,'00 Compact View'!$A$6:$A$205,A138,'00 Compact View'!$B$6:$B$205,"&gt;="&amp;B138-'03 Mind Knobs'!$B$16+1,'00 Compact View'!$B$6:$B$205,"&lt;="&amp;B138),SUMIFS('00 Compact View'!$J$6:$J$205,'00 Compact View'!$A$6:$A$205,A138,'00 Compact View'!$B$6:$B$205,"&gt;="&amp;B138-'03 Mind Knobs'!$B$16+1,'00 Compact View'!$B$6:$B$205,"&lt;="&amp;B138),SUMIFS('00 Compact View'!$K$6:$K$205,'00 Compact View'!$A$6:$A$205,A138,'00 Compact View'!$B$6:$B$205,"&gt;="&amp;B138-'03 Mind Knobs'!$B$16+1,'00 Compact View'!$B$6:$B$205,"&lt;="&amp;B138),SUMIFS('00 Compact View'!$L$6:$L$205,'00 Compact View'!$A$6:$A$205,A138,'00 Compact View'!$B$6:$B$205,"&gt;="&amp;B138-'03 Mind Knobs'!$B$16+1,'00 Compact View'!$B$6:$B$205,"&lt;="&amp;B138))&gt;=MAX(1,ROUNDUP('03 Mind Knobs'!$B$16*(1-'03 Mind Knobs'!$B$8),0)))</x:f>
        <x:v>0</x:v>
      </x:c>
      <x:c r="M138" t="n">
        <x:f>--(OR(I138=1,J138=1,K138=1,L138=1))</x:f>
        <x:v>1</x:v>
      </x:c>
    </x:row>
    <x:row r="139">
      <x:c r="A139" t="n">
        <x:f>'00 Compact View'!A139</x:f>
        <x:v>7</x:v>
      </x:c>
      <x:c r="B139" t="n">
        <x:f>'00 Compact View'!B139</x:f>
        <x:v>14</x:v>
      </x:c>
      <x:c r="C139" s="12" t="n">
        <x:f>SUM('00 Compact View'!H139:L139)/5</x:f>
        <x:v>0</x:v>
      </x:c>
      <x:c r="D139" s="12" t="n">
        <x:f>SUM('00 Compact View'!M139:Q139)/5</x:f>
        <x:v>0.4</x:v>
      </x:c>
      <x:c r="E139" s="12" t="n">
        <x:f>'00 Compact View'!R139</x:f>
        <x:v>1</x:v>
      </x:c>
      <x:c r="F139" s="12" t="n">
        <x:f>'00 Compact View'!T139</x:f>
        <x:v>1</x:v>
      </x:c>
      <x:c r="G139" s="12" t="n">
        <x:f>'04 Resource Body'!$B$10</x:f>
        <x:v>0</x:v>
      </x:c>
      <x:c r="H139" t="n">
        <x:f>--(M139=0)</x:f>
        <x:v>0</x:v>
      </x:c>
      <x:c r="I139" t="n">
        <x:f>--(MIN(1,C139+D139+(E139*'03 Mind Knobs'!$B$17)+(F139*'03 Mind Knobs'!$B$18)+('03 Mind Knobs'!$B$7*F139))&gt;=MAX(0.15,0.35+(G139*'03 Mind Knobs'!$B$10)-('03 Mind Knobs'!$B$13*0.15)))</x:f>
        <x:v>1</x:v>
      </x:c>
      <x:c r="J139" t="n">
        <x:f>--(MIN(1,C139+D139+(E139*'03 Mind Knobs'!$B$17)+(F139*'03 Mind Knobs'!$B$18)+('03 Mind Knobs'!$B$7*F139))&gt;=MIN(0.95,'03 Mind Knobs'!$B$19+(G139*'03 Mind Knobs'!$B$10)-('03 Mind Knobs'!$B$13*0.10)))</x:f>
        <x:v>1</x:v>
      </x:c>
      <x:c r="K139" t="n">
        <x:f>--(AND(J139=1,OR(E139=1,F139=1)))</x:f>
        <x:v>1</x:v>
      </x:c>
      <x:c r="L139" t="n">
        <x:f>--(MAX(SUMIFS('00 Compact View'!$H$6:$H$205,'00 Compact View'!$A$6:$A$205,A139,'00 Compact View'!$B$6:$B$205,"&gt;="&amp;B139-'03 Mind Knobs'!$B$16+1,'00 Compact View'!$B$6:$B$205,"&lt;="&amp;B139),SUMIFS('00 Compact View'!$I$6:$I$205,'00 Compact View'!$A$6:$A$205,A139,'00 Compact View'!$B$6:$B$205,"&gt;="&amp;B139-'03 Mind Knobs'!$B$16+1,'00 Compact View'!$B$6:$B$205,"&lt;="&amp;B139),SUMIFS('00 Compact View'!$J$6:$J$205,'00 Compact View'!$A$6:$A$205,A139,'00 Compact View'!$B$6:$B$205,"&gt;="&amp;B139-'03 Mind Knobs'!$B$16+1,'00 Compact View'!$B$6:$B$205,"&lt;="&amp;B139),SUMIFS('00 Compact View'!$K$6:$K$205,'00 Compact View'!$A$6:$A$205,A139,'00 Compact View'!$B$6:$B$205,"&gt;="&amp;B139-'03 Mind Knobs'!$B$16+1,'00 Compact View'!$B$6:$B$205,"&lt;="&amp;B139),SUMIFS('00 Compact View'!$L$6:$L$205,'00 Compact View'!$A$6:$A$205,A139,'00 Compact View'!$B$6:$B$205,"&gt;="&amp;B139-'03 Mind Knobs'!$B$16+1,'00 Compact View'!$B$6:$B$205,"&lt;="&amp;B139))&gt;=MAX(1,ROUNDUP('03 Mind Knobs'!$B$16*(1-'03 Mind Knobs'!$B$8),0)))</x:f>
        <x:v>0</x:v>
      </x:c>
      <x:c r="M139" t="n">
        <x:f>--(OR(I139=1,J139=1,K139=1,L139=1))</x:f>
        <x:v>1</x:v>
      </x:c>
    </x:row>
    <x:row r="140">
      <x:c r="A140" t="n">
        <x:f>'00 Compact View'!A140</x:f>
        <x:v>7</x:v>
      </x:c>
      <x:c r="B140" t="n">
        <x:f>'00 Compact View'!B140</x:f>
        <x:v>15</x:v>
      </x:c>
      <x:c r="C140" s="12" t="n">
        <x:f>SUM('00 Compact View'!H140:L140)/5</x:f>
        <x:v>0</x:v>
      </x:c>
      <x:c r="D140" s="12" t="n">
        <x:f>SUM('00 Compact View'!M140:Q140)/5</x:f>
        <x:v>0.6</x:v>
      </x:c>
      <x:c r="E140" s="12" t="n">
        <x:f>'00 Compact View'!R140</x:f>
        <x:v>1</x:v>
      </x:c>
      <x:c r="F140" s="12" t="n">
        <x:f>'00 Compact View'!T140</x:f>
        <x:v>1</x:v>
      </x:c>
      <x:c r="G140" s="12" t="n">
        <x:f>'04 Resource Body'!$B$10</x:f>
        <x:v>0</x:v>
      </x:c>
      <x:c r="H140" t="n">
        <x:f>--(M140=0)</x:f>
        <x:v>0</x:v>
      </x:c>
      <x:c r="I140" t="n">
        <x:f>--(MIN(1,C140+D140+(E140*'03 Mind Knobs'!$B$17)+(F140*'03 Mind Knobs'!$B$18)+('03 Mind Knobs'!$B$7*F140))&gt;=MAX(0.15,0.35+(G140*'03 Mind Knobs'!$B$10)-('03 Mind Knobs'!$B$13*0.15)))</x:f>
        <x:v>1</x:v>
      </x:c>
      <x:c r="J140" t="n">
        <x:f>--(MIN(1,C140+D140+(E140*'03 Mind Knobs'!$B$17)+(F140*'03 Mind Knobs'!$B$18)+('03 Mind Knobs'!$B$7*F140))&gt;=MIN(0.95,'03 Mind Knobs'!$B$19+(G140*'03 Mind Knobs'!$B$10)-('03 Mind Knobs'!$B$13*0.10)))</x:f>
        <x:v>1</x:v>
      </x:c>
      <x:c r="K140" t="n">
        <x:f>--(AND(J140=1,OR(E140=1,F140=1)))</x:f>
        <x:v>1</x:v>
      </x:c>
      <x:c r="L140" t="n">
        <x:f>--(MAX(SUMIFS('00 Compact View'!$H$6:$H$205,'00 Compact View'!$A$6:$A$205,A140,'00 Compact View'!$B$6:$B$205,"&gt;="&amp;B140-'03 Mind Knobs'!$B$16+1,'00 Compact View'!$B$6:$B$205,"&lt;="&amp;B140),SUMIFS('00 Compact View'!$I$6:$I$205,'00 Compact View'!$A$6:$A$205,A140,'00 Compact View'!$B$6:$B$205,"&gt;="&amp;B140-'03 Mind Knobs'!$B$16+1,'00 Compact View'!$B$6:$B$205,"&lt;="&amp;B140),SUMIFS('00 Compact View'!$J$6:$J$205,'00 Compact View'!$A$6:$A$205,A140,'00 Compact View'!$B$6:$B$205,"&gt;="&amp;B140-'03 Mind Knobs'!$B$16+1,'00 Compact View'!$B$6:$B$205,"&lt;="&amp;B140),SUMIFS('00 Compact View'!$K$6:$K$205,'00 Compact View'!$A$6:$A$205,A140,'00 Compact View'!$B$6:$B$205,"&gt;="&amp;B140-'03 Mind Knobs'!$B$16+1,'00 Compact View'!$B$6:$B$205,"&lt;="&amp;B140),SUMIFS('00 Compact View'!$L$6:$L$205,'00 Compact View'!$A$6:$A$205,A140,'00 Compact View'!$B$6:$B$205,"&gt;="&amp;B140-'03 Mind Knobs'!$B$16+1,'00 Compact View'!$B$6:$B$205,"&lt;="&amp;B140))&gt;=MAX(1,ROUNDUP('03 Mind Knobs'!$B$16*(1-'03 Mind Knobs'!$B$8),0)))</x:f>
        <x:v>0</x:v>
      </x:c>
      <x:c r="M140" t="n">
        <x:f>--(OR(I140=1,J140=1,K140=1,L140=1))</x:f>
        <x:v>1</x:v>
      </x:c>
    </x:row>
    <x:row r="141">
      <x:c r="A141" t="n">
        <x:f>'00 Compact View'!A141</x:f>
        <x:v>7</x:v>
      </x:c>
      <x:c r="B141" t="n">
        <x:f>'00 Compact View'!B141</x:f>
        <x:v>16</x:v>
      </x:c>
      <x:c r="C141" s="12" t="n">
        <x:f>SUM('00 Compact View'!H141:L141)/5</x:f>
        <x:v>0</x:v>
      </x:c>
      <x:c r="D141" s="12" t="n">
        <x:f>SUM('00 Compact View'!M141:Q141)/5</x:f>
        <x:v>0.6</x:v>
      </x:c>
      <x:c r="E141" s="12" t="n">
        <x:f>'00 Compact View'!R141</x:f>
        <x:v>1</x:v>
      </x:c>
      <x:c r="F141" s="12" t="n">
        <x:f>'00 Compact View'!T141</x:f>
        <x:v>0</x:v>
      </x:c>
      <x:c r="G141" s="12" t="n">
        <x:f>'04 Resource Body'!$B$10</x:f>
        <x:v>0</x:v>
      </x:c>
      <x:c r="H141" t="n">
        <x:f>--(M141=0)</x:f>
        <x:v>0</x:v>
      </x:c>
      <x:c r="I141" t="n">
        <x:f>--(MIN(1,C141+D141+(E141*'03 Mind Knobs'!$B$17)+(F141*'03 Mind Knobs'!$B$18)+('03 Mind Knobs'!$B$7*F141))&gt;=MAX(0.15,0.35+(G141*'03 Mind Knobs'!$B$10)-('03 Mind Knobs'!$B$13*0.15)))</x:f>
        <x:v>1</x:v>
      </x:c>
      <x:c r="J141" t="n">
        <x:f>--(MIN(1,C141+D141+(E141*'03 Mind Knobs'!$B$17)+(F141*'03 Mind Knobs'!$B$18)+('03 Mind Knobs'!$B$7*F141))&gt;=MIN(0.95,'03 Mind Knobs'!$B$19+(G141*'03 Mind Knobs'!$B$10)-('03 Mind Knobs'!$B$13*0.10)))</x:f>
        <x:v>1</x:v>
      </x:c>
      <x:c r="K141" t="n">
        <x:f>--(AND(J141=1,OR(E141=1,F141=1)))</x:f>
        <x:v>1</x:v>
      </x:c>
      <x:c r="L141" t="n">
        <x:f>--(MAX(SUMIFS('00 Compact View'!$H$6:$H$205,'00 Compact View'!$A$6:$A$205,A141,'00 Compact View'!$B$6:$B$205,"&gt;="&amp;B141-'03 Mind Knobs'!$B$16+1,'00 Compact View'!$B$6:$B$205,"&lt;="&amp;B141),SUMIFS('00 Compact View'!$I$6:$I$205,'00 Compact View'!$A$6:$A$205,A141,'00 Compact View'!$B$6:$B$205,"&gt;="&amp;B141-'03 Mind Knobs'!$B$16+1,'00 Compact View'!$B$6:$B$205,"&lt;="&amp;B141),SUMIFS('00 Compact View'!$J$6:$J$205,'00 Compact View'!$A$6:$A$205,A141,'00 Compact View'!$B$6:$B$205,"&gt;="&amp;B141-'03 Mind Knobs'!$B$16+1,'00 Compact View'!$B$6:$B$205,"&lt;="&amp;B141),SUMIFS('00 Compact View'!$K$6:$K$205,'00 Compact View'!$A$6:$A$205,A141,'00 Compact View'!$B$6:$B$205,"&gt;="&amp;B141-'03 Mind Knobs'!$B$16+1,'00 Compact View'!$B$6:$B$205,"&lt;="&amp;B141),SUMIFS('00 Compact View'!$L$6:$L$205,'00 Compact View'!$A$6:$A$205,A141,'00 Compact View'!$B$6:$B$205,"&gt;="&amp;B141-'03 Mind Knobs'!$B$16+1,'00 Compact View'!$B$6:$B$205,"&lt;="&amp;B141))&gt;=MAX(1,ROUNDUP('03 Mind Knobs'!$B$16*(1-'03 Mind Knobs'!$B$8),0)))</x:f>
        <x:v>0</x:v>
      </x:c>
      <x:c r="M141" t="n">
        <x:f>--(OR(I141=1,J141=1,K141=1,L141=1))</x:f>
        <x:v>1</x:v>
      </x:c>
    </x:row>
    <x:row r="142">
      <x:c r="A142" t="n">
        <x:f>'00 Compact View'!A142</x:f>
        <x:v>7</x:v>
      </x:c>
      <x:c r="B142" t="n">
        <x:f>'00 Compact View'!B142</x:f>
        <x:v>17</x:v>
      </x:c>
      <x:c r="C142" s="12" t="n">
        <x:f>SUM('00 Compact View'!H142:L142)/5</x:f>
        <x:v>0</x:v>
      </x:c>
      <x:c r="D142" s="12" t="n">
        <x:f>SUM('00 Compact View'!M142:Q142)/5</x:f>
        <x:v>0.4</x:v>
      </x:c>
      <x:c r="E142" s="12" t="n">
        <x:f>'00 Compact View'!R142</x:f>
        <x:v>1</x:v>
      </x:c>
      <x:c r="F142" s="12" t="n">
        <x:f>'00 Compact View'!T142</x:f>
        <x:v>1</x:v>
      </x:c>
      <x:c r="G142" s="12" t="n">
        <x:f>'04 Resource Body'!$B$10</x:f>
        <x:v>0</x:v>
      </x:c>
      <x:c r="H142" t="n">
        <x:f>--(M142=0)</x:f>
        <x:v>0</x:v>
      </x:c>
      <x:c r="I142" t="n">
        <x:f>--(MIN(1,C142+D142+(E142*'03 Mind Knobs'!$B$17)+(F142*'03 Mind Knobs'!$B$18)+('03 Mind Knobs'!$B$7*F142))&gt;=MAX(0.15,0.35+(G142*'03 Mind Knobs'!$B$10)-('03 Mind Knobs'!$B$13*0.15)))</x:f>
        <x:v>1</x:v>
      </x:c>
      <x:c r="J142" t="n">
        <x:f>--(MIN(1,C142+D142+(E142*'03 Mind Knobs'!$B$17)+(F142*'03 Mind Knobs'!$B$18)+('03 Mind Knobs'!$B$7*F142))&gt;=MIN(0.95,'03 Mind Knobs'!$B$19+(G142*'03 Mind Knobs'!$B$10)-('03 Mind Knobs'!$B$13*0.10)))</x:f>
        <x:v>1</x:v>
      </x:c>
      <x:c r="K142" t="n">
        <x:f>--(AND(J142=1,OR(E142=1,F142=1)))</x:f>
        <x:v>1</x:v>
      </x:c>
      <x:c r="L142" t="n">
        <x:f>--(MAX(SUMIFS('00 Compact View'!$H$6:$H$205,'00 Compact View'!$A$6:$A$205,A142,'00 Compact View'!$B$6:$B$205,"&gt;="&amp;B142-'03 Mind Knobs'!$B$16+1,'00 Compact View'!$B$6:$B$205,"&lt;="&amp;B142),SUMIFS('00 Compact View'!$I$6:$I$205,'00 Compact View'!$A$6:$A$205,A142,'00 Compact View'!$B$6:$B$205,"&gt;="&amp;B142-'03 Mind Knobs'!$B$16+1,'00 Compact View'!$B$6:$B$205,"&lt;="&amp;B142),SUMIFS('00 Compact View'!$J$6:$J$205,'00 Compact View'!$A$6:$A$205,A142,'00 Compact View'!$B$6:$B$205,"&gt;="&amp;B142-'03 Mind Knobs'!$B$16+1,'00 Compact View'!$B$6:$B$205,"&lt;="&amp;B142),SUMIFS('00 Compact View'!$K$6:$K$205,'00 Compact View'!$A$6:$A$205,A142,'00 Compact View'!$B$6:$B$205,"&gt;="&amp;B142-'03 Mind Knobs'!$B$16+1,'00 Compact View'!$B$6:$B$205,"&lt;="&amp;B142),SUMIFS('00 Compact View'!$L$6:$L$205,'00 Compact View'!$A$6:$A$205,A142,'00 Compact View'!$B$6:$B$205,"&gt;="&amp;B142-'03 Mind Knobs'!$B$16+1,'00 Compact View'!$B$6:$B$205,"&lt;="&amp;B142))&gt;=MAX(1,ROUNDUP('03 Mind Knobs'!$B$16*(1-'03 Mind Knobs'!$B$8),0)))</x:f>
        <x:v>0</x:v>
      </x:c>
      <x:c r="M142" t="n">
        <x:f>--(OR(I142=1,J142=1,K142=1,L142=1))</x:f>
        <x:v>1</x:v>
      </x:c>
    </x:row>
    <x:row r="143">
      <x:c r="A143" t="n">
        <x:f>'00 Compact View'!A143</x:f>
        <x:v>7</x:v>
      </x:c>
      <x:c r="B143" t="n">
        <x:f>'00 Compact View'!B143</x:f>
        <x:v>18</x:v>
      </x:c>
      <x:c r="C143" s="12" t="n">
        <x:f>SUM('00 Compact View'!H143:L143)/5</x:f>
        <x:v>0</x:v>
      </x:c>
      <x:c r="D143" s="12" t="n">
        <x:f>SUM('00 Compact View'!M143:Q143)/5</x:f>
        <x:v>0.6</x:v>
      </x:c>
      <x:c r="E143" s="12" t="n">
        <x:f>'00 Compact View'!R143</x:f>
        <x:v>1</x:v>
      </x:c>
      <x:c r="F143" s="12" t="n">
        <x:f>'00 Compact View'!T143</x:f>
        <x:v>1</x:v>
      </x:c>
      <x:c r="G143" s="12" t="n">
        <x:f>'04 Resource Body'!$B$10</x:f>
        <x:v>0</x:v>
      </x:c>
      <x:c r="H143" t="n">
        <x:f>--(M143=0)</x:f>
        <x:v>0</x:v>
      </x:c>
      <x:c r="I143" t="n">
        <x:f>--(MIN(1,C143+D143+(E143*'03 Mind Knobs'!$B$17)+(F143*'03 Mind Knobs'!$B$18)+('03 Mind Knobs'!$B$7*F143))&gt;=MAX(0.15,0.35+(G143*'03 Mind Knobs'!$B$10)-('03 Mind Knobs'!$B$13*0.15)))</x:f>
        <x:v>1</x:v>
      </x:c>
      <x:c r="J143" t="n">
        <x:f>--(MIN(1,C143+D143+(E143*'03 Mind Knobs'!$B$17)+(F143*'03 Mind Knobs'!$B$18)+('03 Mind Knobs'!$B$7*F143))&gt;=MIN(0.95,'03 Mind Knobs'!$B$19+(G143*'03 Mind Knobs'!$B$10)-('03 Mind Knobs'!$B$13*0.10)))</x:f>
        <x:v>1</x:v>
      </x:c>
      <x:c r="K143" t="n">
        <x:f>--(AND(J143=1,OR(E143=1,F143=1)))</x:f>
        <x:v>1</x:v>
      </x:c>
      <x:c r="L143" t="n">
        <x:f>--(MAX(SUMIFS('00 Compact View'!$H$6:$H$205,'00 Compact View'!$A$6:$A$205,A143,'00 Compact View'!$B$6:$B$205,"&gt;="&amp;B143-'03 Mind Knobs'!$B$16+1,'00 Compact View'!$B$6:$B$205,"&lt;="&amp;B143),SUMIFS('00 Compact View'!$I$6:$I$205,'00 Compact View'!$A$6:$A$205,A143,'00 Compact View'!$B$6:$B$205,"&gt;="&amp;B143-'03 Mind Knobs'!$B$16+1,'00 Compact View'!$B$6:$B$205,"&lt;="&amp;B143),SUMIFS('00 Compact View'!$J$6:$J$205,'00 Compact View'!$A$6:$A$205,A143,'00 Compact View'!$B$6:$B$205,"&gt;="&amp;B143-'03 Mind Knobs'!$B$16+1,'00 Compact View'!$B$6:$B$205,"&lt;="&amp;B143),SUMIFS('00 Compact View'!$K$6:$K$205,'00 Compact View'!$A$6:$A$205,A143,'00 Compact View'!$B$6:$B$205,"&gt;="&amp;B143-'03 Mind Knobs'!$B$16+1,'00 Compact View'!$B$6:$B$205,"&lt;="&amp;B143),SUMIFS('00 Compact View'!$L$6:$L$205,'00 Compact View'!$A$6:$A$205,A143,'00 Compact View'!$B$6:$B$205,"&gt;="&amp;B143-'03 Mind Knobs'!$B$16+1,'00 Compact View'!$B$6:$B$205,"&lt;="&amp;B143))&gt;=MAX(1,ROUNDUP('03 Mind Knobs'!$B$16*(1-'03 Mind Knobs'!$B$8),0)))</x:f>
        <x:v>0</x:v>
      </x:c>
      <x:c r="M143" t="n">
        <x:f>--(OR(I143=1,J143=1,K143=1,L143=1))</x:f>
        <x:v>1</x:v>
      </x:c>
    </x:row>
    <x:row r="144">
      <x:c r="A144" t="n">
        <x:f>'00 Compact View'!A144</x:f>
        <x:v>7</x:v>
      </x:c>
      <x:c r="B144" t="n">
        <x:f>'00 Compact View'!B144</x:f>
        <x:v>19</x:v>
      </x:c>
      <x:c r="C144" s="12" t="n">
        <x:f>SUM('00 Compact View'!H144:L144)/5</x:f>
        <x:v>0</x:v>
      </x:c>
      <x:c r="D144" s="12" t="n">
        <x:f>SUM('00 Compact View'!M144:Q144)/5</x:f>
        <x:v>0.6</x:v>
      </x:c>
      <x:c r="E144" s="12" t="n">
        <x:f>'00 Compact View'!R144</x:f>
        <x:v>1</x:v>
      </x:c>
      <x:c r="F144" s="12" t="n">
        <x:f>'00 Compact View'!T144</x:f>
        <x:v>0</x:v>
      </x:c>
      <x:c r="G144" s="12" t="n">
        <x:f>'04 Resource Body'!$B$10</x:f>
        <x:v>0</x:v>
      </x:c>
      <x:c r="H144" t="n">
        <x:f>--(M144=0)</x:f>
        <x:v>0</x:v>
      </x:c>
      <x:c r="I144" t="n">
        <x:f>--(MIN(1,C144+D144+(E144*'03 Mind Knobs'!$B$17)+(F144*'03 Mind Knobs'!$B$18)+('03 Mind Knobs'!$B$7*F144))&gt;=MAX(0.15,0.35+(G144*'03 Mind Knobs'!$B$10)-('03 Mind Knobs'!$B$13*0.15)))</x:f>
        <x:v>1</x:v>
      </x:c>
      <x:c r="J144" t="n">
        <x:f>--(MIN(1,C144+D144+(E144*'03 Mind Knobs'!$B$17)+(F144*'03 Mind Knobs'!$B$18)+('03 Mind Knobs'!$B$7*F144))&gt;=MIN(0.95,'03 Mind Knobs'!$B$19+(G144*'03 Mind Knobs'!$B$10)-('03 Mind Knobs'!$B$13*0.10)))</x:f>
        <x:v>1</x:v>
      </x:c>
      <x:c r="K144" t="n">
        <x:f>--(AND(J144=1,OR(E144=1,F144=1)))</x:f>
        <x:v>1</x:v>
      </x:c>
      <x:c r="L144" t="n">
        <x:f>--(MAX(SUMIFS('00 Compact View'!$H$6:$H$205,'00 Compact View'!$A$6:$A$205,A144,'00 Compact View'!$B$6:$B$205,"&gt;="&amp;B144-'03 Mind Knobs'!$B$16+1,'00 Compact View'!$B$6:$B$205,"&lt;="&amp;B144),SUMIFS('00 Compact View'!$I$6:$I$205,'00 Compact View'!$A$6:$A$205,A144,'00 Compact View'!$B$6:$B$205,"&gt;="&amp;B144-'03 Mind Knobs'!$B$16+1,'00 Compact View'!$B$6:$B$205,"&lt;="&amp;B144),SUMIFS('00 Compact View'!$J$6:$J$205,'00 Compact View'!$A$6:$A$205,A144,'00 Compact View'!$B$6:$B$205,"&gt;="&amp;B144-'03 Mind Knobs'!$B$16+1,'00 Compact View'!$B$6:$B$205,"&lt;="&amp;B144),SUMIFS('00 Compact View'!$K$6:$K$205,'00 Compact View'!$A$6:$A$205,A144,'00 Compact View'!$B$6:$B$205,"&gt;="&amp;B144-'03 Mind Knobs'!$B$16+1,'00 Compact View'!$B$6:$B$205,"&lt;="&amp;B144),SUMIFS('00 Compact View'!$L$6:$L$205,'00 Compact View'!$A$6:$A$205,A144,'00 Compact View'!$B$6:$B$205,"&gt;="&amp;B144-'03 Mind Knobs'!$B$16+1,'00 Compact View'!$B$6:$B$205,"&lt;="&amp;B144))&gt;=MAX(1,ROUNDUP('03 Mind Knobs'!$B$16*(1-'03 Mind Knobs'!$B$8),0)))</x:f>
        <x:v>0</x:v>
      </x:c>
      <x:c r="M144" t="n">
        <x:f>--(OR(I144=1,J144=1,K144=1,L144=1))</x:f>
        <x:v>1</x:v>
      </x:c>
    </x:row>
    <x:row r="145">
      <x:c r="A145" t="n">
        <x:f>'00 Compact View'!A145</x:f>
        <x:v>7</x:v>
      </x:c>
      <x:c r="B145" t="n">
        <x:f>'00 Compact View'!B145</x:f>
        <x:v>20</x:v>
      </x:c>
      <x:c r="C145" s="12" t="n">
        <x:f>SUM('00 Compact View'!H145:L145)/5</x:f>
        <x:v>0</x:v>
      </x:c>
      <x:c r="D145" s="12" t="n">
        <x:f>SUM('00 Compact View'!M145:Q145)/5</x:f>
        <x:v>0.4</x:v>
      </x:c>
      <x:c r="E145" s="12" t="n">
        <x:f>'00 Compact View'!R145</x:f>
        <x:v>1</x:v>
      </x:c>
      <x:c r="F145" s="12" t="n">
        <x:f>'00 Compact View'!T145</x:f>
        <x:v>1</x:v>
      </x:c>
      <x:c r="G145" s="12" t="n">
        <x:f>'04 Resource Body'!$B$10</x:f>
        <x:v>0</x:v>
      </x:c>
      <x:c r="H145" t="n">
        <x:f>--(M145=0)</x:f>
        <x:v>0</x:v>
      </x:c>
      <x:c r="I145" t="n">
        <x:f>--(MIN(1,C145+D145+(E145*'03 Mind Knobs'!$B$17)+(F145*'03 Mind Knobs'!$B$18)+('03 Mind Knobs'!$B$7*F145))&gt;=MAX(0.15,0.35+(G145*'03 Mind Knobs'!$B$10)-('03 Mind Knobs'!$B$13*0.15)))</x:f>
        <x:v>1</x:v>
      </x:c>
      <x:c r="J145" t="n">
        <x:f>--(MIN(1,C145+D145+(E145*'03 Mind Knobs'!$B$17)+(F145*'03 Mind Knobs'!$B$18)+('03 Mind Knobs'!$B$7*F145))&gt;=MIN(0.95,'03 Mind Knobs'!$B$19+(G145*'03 Mind Knobs'!$B$10)-('03 Mind Knobs'!$B$13*0.10)))</x:f>
        <x:v>1</x:v>
      </x:c>
      <x:c r="K145" t="n">
        <x:f>--(AND(J145=1,OR(E145=1,F145=1)))</x:f>
        <x:v>1</x:v>
      </x:c>
      <x:c r="L145" t="n">
        <x:f>--(MAX(SUMIFS('00 Compact View'!$H$6:$H$205,'00 Compact View'!$A$6:$A$205,A145,'00 Compact View'!$B$6:$B$205,"&gt;="&amp;B145-'03 Mind Knobs'!$B$16+1,'00 Compact View'!$B$6:$B$205,"&lt;="&amp;B145),SUMIFS('00 Compact View'!$I$6:$I$205,'00 Compact View'!$A$6:$A$205,A145,'00 Compact View'!$B$6:$B$205,"&gt;="&amp;B145-'03 Mind Knobs'!$B$16+1,'00 Compact View'!$B$6:$B$205,"&lt;="&amp;B145),SUMIFS('00 Compact View'!$J$6:$J$205,'00 Compact View'!$A$6:$A$205,A145,'00 Compact View'!$B$6:$B$205,"&gt;="&amp;B145-'03 Mind Knobs'!$B$16+1,'00 Compact View'!$B$6:$B$205,"&lt;="&amp;B145),SUMIFS('00 Compact View'!$K$6:$K$205,'00 Compact View'!$A$6:$A$205,A145,'00 Compact View'!$B$6:$B$205,"&gt;="&amp;B145-'03 Mind Knobs'!$B$16+1,'00 Compact View'!$B$6:$B$205,"&lt;="&amp;B145),SUMIFS('00 Compact View'!$L$6:$L$205,'00 Compact View'!$A$6:$A$205,A145,'00 Compact View'!$B$6:$B$205,"&gt;="&amp;B145-'03 Mind Knobs'!$B$16+1,'00 Compact View'!$B$6:$B$205,"&lt;="&amp;B145))&gt;=MAX(1,ROUNDUP('03 Mind Knobs'!$B$16*(1-'03 Mind Knobs'!$B$8),0)))</x:f>
        <x:v>0</x:v>
      </x:c>
      <x:c r="M145" t="n">
        <x:f>--(OR(I145=1,J145=1,K145=1,L145=1))</x:f>
        <x:v>1</x:v>
      </x:c>
    </x:row>
    <x:row r="146">
      <x:c r="A146" t="n">
        <x:f>'00 Compact View'!A146</x:f>
        <x:v>8</x:v>
      </x:c>
      <x:c r="B146" t="n">
        <x:f>'00 Compact View'!B146</x:f>
        <x:v>1</x:v>
      </x:c>
      <x:c r="C146" s="12" t="n">
        <x:f>SUM('00 Compact View'!H146:L146)/5</x:f>
        <x:v>0</x:v>
      </x:c>
      <x:c r="D146" s="12" t="n">
        <x:f>SUM('00 Compact View'!M146:Q146)/5</x:f>
        <x:v>0</x:v>
      </x:c>
      <x:c r="E146" s="12" t="n">
        <x:f>'00 Compact View'!R146</x:f>
        <x:v>0</x:v>
      </x:c>
      <x:c r="F146" s="12" t="n">
        <x:f>'00 Compact View'!T146</x:f>
        <x:v>0</x:v>
      </x:c>
      <x:c r="G146" s="12" t="n">
        <x:f>'04 Resource Body'!$B$10</x:f>
        <x:v>0</x:v>
      </x:c>
      <x:c r="H146" t="n">
        <x:f>--(M146=0)</x:f>
        <x:v>1</x:v>
      </x:c>
      <x:c r="I146" t="n">
        <x:f>--(MIN(1,C146+D146+(E146*'03 Mind Knobs'!$B$17)+(F146*'03 Mind Knobs'!$B$18)+('03 Mind Knobs'!$B$7*F146))&gt;=MAX(0.15,0.35+(G146*'03 Mind Knobs'!$B$10)-('03 Mind Knobs'!$B$13*0.15)))</x:f>
        <x:v>0</x:v>
      </x:c>
      <x:c r="J146" t="n">
        <x:f>--(MIN(1,C146+D146+(E146*'03 Mind Knobs'!$B$17)+(F146*'03 Mind Knobs'!$B$18)+('03 Mind Knobs'!$B$7*F146))&gt;=MIN(0.95,'03 Mind Knobs'!$B$19+(G146*'03 Mind Knobs'!$B$10)-('03 Mind Knobs'!$B$13*0.10)))</x:f>
        <x:v>0</x:v>
      </x:c>
      <x:c r="K146" t="n">
        <x:f>--(AND(J146=1,OR(E146=1,F146=1)))</x:f>
        <x:v>0</x:v>
      </x:c>
      <x:c r="L146" t="n">
        <x:f>--(MAX(SUMIFS('00 Compact View'!$H$6:$H$205,'00 Compact View'!$A$6:$A$205,A146,'00 Compact View'!$B$6:$B$205,"&gt;="&amp;B146-'03 Mind Knobs'!$B$16+1,'00 Compact View'!$B$6:$B$205,"&lt;="&amp;B146),SUMIFS('00 Compact View'!$I$6:$I$205,'00 Compact View'!$A$6:$A$205,A146,'00 Compact View'!$B$6:$B$205,"&gt;="&amp;B146-'03 Mind Knobs'!$B$16+1,'00 Compact View'!$B$6:$B$205,"&lt;="&amp;B146),SUMIFS('00 Compact View'!$J$6:$J$205,'00 Compact View'!$A$6:$A$205,A146,'00 Compact View'!$B$6:$B$205,"&gt;="&amp;B146-'03 Mind Knobs'!$B$16+1,'00 Compact View'!$B$6:$B$205,"&lt;="&amp;B146),SUMIFS('00 Compact View'!$K$6:$K$205,'00 Compact View'!$A$6:$A$205,A146,'00 Compact View'!$B$6:$B$205,"&gt;="&amp;B146-'03 Mind Knobs'!$B$16+1,'00 Compact View'!$B$6:$B$205,"&lt;="&amp;B146),SUMIFS('00 Compact View'!$L$6:$L$205,'00 Compact View'!$A$6:$A$205,A146,'00 Compact View'!$B$6:$B$205,"&gt;="&amp;B146-'03 Mind Knobs'!$B$16+1,'00 Compact View'!$B$6:$B$205,"&lt;="&amp;B146))&gt;=MAX(1,ROUNDUP('03 Mind Knobs'!$B$16*(1-'03 Mind Knobs'!$B$8),0)))</x:f>
        <x:v>0</x:v>
      </x:c>
      <x:c r="M146" t="n">
        <x:f>--(OR(I146=1,J146=1,K146=1,L146=1))</x:f>
        <x:v>0</x:v>
      </x:c>
    </x:row>
    <x:row r="147">
      <x:c r="A147" t="n">
        <x:f>'00 Compact View'!A147</x:f>
        <x:v>8</x:v>
      </x:c>
      <x:c r="B147" t="n">
        <x:f>'00 Compact View'!B147</x:f>
        <x:v>2</x:v>
      </x:c>
      <x:c r="C147" s="12" t="n">
        <x:f>SUM('00 Compact View'!H147:L147)/5</x:f>
        <x:v>0</x:v>
      </x:c>
      <x:c r="D147" s="12" t="n">
        <x:f>SUM('00 Compact View'!M147:Q147)/5</x:f>
        <x:v>0</x:v>
      </x:c>
      <x:c r="E147" s="12" t="n">
        <x:f>'00 Compact View'!R147</x:f>
        <x:v>0</x:v>
      </x:c>
      <x:c r="F147" s="12" t="n">
        <x:f>'00 Compact View'!T147</x:f>
        <x:v>0</x:v>
      </x:c>
      <x:c r="G147" s="12" t="n">
        <x:f>'04 Resource Body'!$B$10</x:f>
        <x:v>0</x:v>
      </x:c>
      <x:c r="H147" t="n">
        <x:f>--(M147=0)</x:f>
        <x:v>1</x:v>
      </x:c>
      <x:c r="I147" t="n">
        <x:f>--(MIN(1,C147+D147+(E147*'03 Mind Knobs'!$B$17)+(F147*'03 Mind Knobs'!$B$18)+('03 Mind Knobs'!$B$7*F147))&gt;=MAX(0.15,0.35+(G147*'03 Mind Knobs'!$B$10)-('03 Mind Knobs'!$B$13*0.15)))</x:f>
        <x:v>0</x:v>
      </x:c>
      <x:c r="J147" t="n">
        <x:f>--(MIN(1,C147+D147+(E147*'03 Mind Knobs'!$B$17)+(F147*'03 Mind Knobs'!$B$18)+('03 Mind Knobs'!$B$7*F147))&gt;=MIN(0.95,'03 Mind Knobs'!$B$19+(G147*'03 Mind Knobs'!$B$10)-('03 Mind Knobs'!$B$13*0.10)))</x:f>
        <x:v>0</x:v>
      </x:c>
      <x:c r="K147" t="n">
        <x:f>--(AND(J147=1,OR(E147=1,F147=1)))</x:f>
        <x:v>0</x:v>
      </x:c>
      <x:c r="L147" t="n">
        <x:f>--(MAX(SUMIFS('00 Compact View'!$H$6:$H$205,'00 Compact View'!$A$6:$A$205,A147,'00 Compact View'!$B$6:$B$205,"&gt;="&amp;B147-'03 Mind Knobs'!$B$16+1,'00 Compact View'!$B$6:$B$205,"&lt;="&amp;B147),SUMIFS('00 Compact View'!$I$6:$I$205,'00 Compact View'!$A$6:$A$205,A147,'00 Compact View'!$B$6:$B$205,"&gt;="&amp;B147-'03 Mind Knobs'!$B$16+1,'00 Compact View'!$B$6:$B$205,"&lt;="&amp;B147),SUMIFS('00 Compact View'!$J$6:$J$205,'00 Compact View'!$A$6:$A$205,A147,'00 Compact View'!$B$6:$B$205,"&gt;="&amp;B147-'03 Mind Knobs'!$B$16+1,'00 Compact View'!$B$6:$B$205,"&lt;="&amp;B147),SUMIFS('00 Compact View'!$K$6:$K$205,'00 Compact View'!$A$6:$A$205,A147,'00 Compact View'!$B$6:$B$205,"&gt;="&amp;B147-'03 Mind Knobs'!$B$16+1,'00 Compact View'!$B$6:$B$205,"&lt;="&amp;B147),SUMIFS('00 Compact View'!$L$6:$L$205,'00 Compact View'!$A$6:$A$205,A147,'00 Compact View'!$B$6:$B$205,"&gt;="&amp;B147-'03 Mind Knobs'!$B$16+1,'00 Compact View'!$B$6:$B$205,"&lt;="&amp;B147))&gt;=MAX(1,ROUNDUP('03 Mind Knobs'!$B$16*(1-'03 Mind Knobs'!$B$8),0)))</x:f>
        <x:v>0</x:v>
      </x:c>
      <x:c r="M147" t="n">
        <x:f>--(OR(I147=1,J147=1,K147=1,L147=1))</x:f>
        <x:v>0</x:v>
      </x:c>
    </x:row>
    <x:row r="148">
      <x:c r="A148" t="n">
        <x:f>'00 Compact View'!A148</x:f>
        <x:v>8</x:v>
      </x:c>
      <x:c r="B148" t="n">
        <x:f>'00 Compact View'!B148</x:f>
        <x:v>3</x:v>
      </x:c>
      <x:c r="C148" s="12" t="n">
        <x:f>SUM('00 Compact View'!H148:L148)/5</x:f>
        <x:v>0</x:v>
      </x:c>
      <x:c r="D148" s="12" t="n">
        <x:f>SUM('00 Compact View'!M148:Q148)/5</x:f>
        <x:v>0.2</x:v>
      </x:c>
      <x:c r="E148" s="12" t="n">
        <x:f>'00 Compact View'!R148</x:f>
        <x:v>0</x:v>
      </x:c>
      <x:c r="F148" s="12" t="n">
        <x:f>'00 Compact View'!T148</x:f>
        <x:v>1</x:v>
      </x:c>
      <x:c r="G148" s="12" t="n">
        <x:f>'04 Resource Body'!$B$10</x:f>
        <x:v>0</x:v>
      </x:c>
      <x:c r="H148" t="n">
        <x:f>--(M148=0)</x:f>
        <x:v>0</x:v>
      </x:c>
      <x:c r="I148" t="n">
        <x:f>--(MIN(1,C148+D148+(E148*'03 Mind Knobs'!$B$17)+(F148*'03 Mind Knobs'!$B$18)+('03 Mind Knobs'!$B$7*F148))&gt;=MAX(0.15,0.35+(G148*'03 Mind Knobs'!$B$10)-('03 Mind Knobs'!$B$13*0.15)))</x:f>
        <x:v>1</x:v>
      </x:c>
      <x:c r="J148" t="n">
        <x:f>--(MIN(1,C148+D148+(E148*'03 Mind Knobs'!$B$17)+(F148*'03 Mind Knobs'!$B$18)+('03 Mind Knobs'!$B$7*F148))&gt;=MIN(0.95,'03 Mind Knobs'!$B$19+(G148*'03 Mind Knobs'!$B$10)-('03 Mind Knobs'!$B$13*0.10)))</x:f>
        <x:v>1</x:v>
      </x:c>
      <x:c r="K148" t="n">
        <x:f>--(AND(J148=1,OR(E148=1,F148=1)))</x:f>
        <x:v>1</x:v>
      </x:c>
      <x:c r="L148" t="n">
        <x:f>--(MAX(SUMIFS('00 Compact View'!$H$6:$H$205,'00 Compact View'!$A$6:$A$205,A148,'00 Compact View'!$B$6:$B$205,"&gt;="&amp;B148-'03 Mind Knobs'!$B$16+1,'00 Compact View'!$B$6:$B$205,"&lt;="&amp;B148),SUMIFS('00 Compact View'!$I$6:$I$205,'00 Compact View'!$A$6:$A$205,A148,'00 Compact View'!$B$6:$B$205,"&gt;="&amp;B148-'03 Mind Knobs'!$B$16+1,'00 Compact View'!$B$6:$B$205,"&lt;="&amp;B148),SUMIFS('00 Compact View'!$J$6:$J$205,'00 Compact View'!$A$6:$A$205,A148,'00 Compact View'!$B$6:$B$205,"&gt;="&amp;B148-'03 Mind Knobs'!$B$16+1,'00 Compact View'!$B$6:$B$205,"&lt;="&amp;B148),SUMIFS('00 Compact View'!$K$6:$K$205,'00 Compact View'!$A$6:$A$205,A148,'00 Compact View'!$B$6:$B$205,"&gt;="&amp;B148-'03 Mind Knobs'!$B$16+1,'00 Compact View'!$B$6:$B$205,"&lt;="&amp;B148),SUMIFS('00 Compact View'!$L$6:$L$205,'00 Compact View'!$A$6:$A$205,A148,'00 Compact View'!$B$6:$B$205,"&gt;="&amp;B148-'03 Mind Knobs'!$B$16+1,'00 Compact View'!$B$6:$B$205,"&lt;="&amp;B148))&gt;=MAX(1,ROUNDUP('03 Mind Knobs'!$B$16*(1-'03 Mind Knobs'!$B$8),0)))</x:f>
        <x:v>0</x:v>
      </x:c>
      <x:c r="M148" t="n">
        <x:f>--(OR(I148=1,J148=1,K148=1,L148=1))</x:f>
        <x:v>1</x:v>
      </x:c>
    </x:row>
    <x:row r="149">
      <x:c r="A149" t="n">
        <x:f>'00 Compact View'!A149</x:f>
        <x:v>8</x:v>
      </x:c>
      <x:c r="B149" t="n">
        <x:f>'00 Compact View'!B149</x:f>
        <x:v>4</x:v>
      </x:c>
      <x:c r="C149" s="12" t="n">
        <x:f>SUM('00 Compact View'!H149:L149)/5</x:f>
        <x:v>0.2</x:v>
      </x:c>
      <x:c r="D149" s="12" t="n">
        <x:f>SUM('00 Compact View'!M149:Q149)/5</x:f>
        <x:v>0.4</x:v>
      </x:c>
      <x:c r="E149" s="12" t="n">
        <x:f>'00 Compact View'!R149</x:f>
        <x:v>1</x:v>
      </x:c>
      <x:c r="F149" s="12" t="n">
        <x:f>'00 Compact View'!T149</x:f>
        <x:v>1</x:v>
      </x:c>
      <x:c r="G149" s="12" t="n">
        <x:f>'04 Resource Body'!$B$10</x:f>
        <x:v>0</x:v>
      </x:c>
      <x:c r="H149" t="n">
        <x:f>--(M149=0)</x:f>
        <x:v>0</x:v>
      </x:c>
      <x:c r="I149" t="n">
        <x:f>--(MIN(1,C149+D149+(E149*'03 Mind Knobs'!$B$17)+(F149*'03 Mind Knobs'!$B$18)+('03 Mind Knobs'!$B$7*F149))&gt;=MAX(0.15,0.35+(G149*'03 Mind Knobs'!$B$10)-('03 Mind Knobs'!$B$13*0.15)))</x:f>
        <x:v>1</x:v>
      </x:c>
      <x:c r="J149" t="n">
        <x:f>--(MIN(1,C149+D149+(E149*'03 Mind Knobs'!$B$17)+(F149*'03 Mind Knobs'!$B$18)+('03 Mind Knobs'!$B$7*F149))&gt;=MIN(0.95,'03 Mind Knobs'!$B$19+(G149*'03 Mind Knobs'!$B$10)-('03 Mind Knobs'!$B$13*0.10)))</x:f>
        <x:v>1</x:v>
      </x:c>
      <x:c r="K149" t="n">
        <x:f>--(AND(J149=1,OR(E149=1,F149=1)))</x:f>
        <x:v>1</x:v>
      </x:c>
      <x:c r="L149" t="n">
        <x:f>--(MAX(SUMIFS('00 Compact View'!$H$6:$H$205,'00 Compact View'!$A$6:$A$205,A149,'00 Compact View'!$B$6:$B$205,"&gt;="&amp;B149-'03 Mind Knobs'!$B$16+1,'00 Compact View'!$B$6:$B$205,"&lt;="&amp;B149),SUMIFS('00 Compact View'!$I$6:$I$205,'00 Compact View'!$A$6:$A$205,A149,'00 Compact View'!$B$6:$B$205,"&gt;="&amp;B149-'03 Mind Knobs'!$B$16+1,'00 Compact View'!$B$6:$B$205,"&lt;="&amp;B149),SUMIFS('00 Compact View'!$J$6:$J$205,'00 Compact View'!$A$6:$A$205,A149,'00 Compact View'!$B$6:$B$205,"&gt;="&amp;B149-'03 Mind Knobs'!$B$16+1,'00 Compact View'!$B$6:$B$205,"&lt;="&amp;B149),SUMIFS('00 Compact View'!$K$6:$K$205,'00 Compact View'!$A$6:$A$205,A149,'00 Compact View'!$B$6:$B$205,"&gt;="&amp;B149-'03 Mind Knobs'!$B$16+1,'00 Compact View'!$B$6:$B$205,"&lt;="&amp;B149),SUMIFS('00 Compact View'!$L$6:$L$205,'00 Compact View'!$A$6:$A$205,A149,'00 Compact View'!$B$6:$B$205,"&gt;="&amp;B149-'03 Mind Knobs'!$B$16+1,'00 Compact View'!$B$6:$B$205,"&lt;="&amp;B149))&gt;=MAX(1,ROUNDUP('03 Mind Knobs'!$B$16*(1-'03 Mind Knobs'!$B$8),0)))</x:f>
        <x:v>0</x:v>
      </x:c>
      <x:c r="M149" t="n">
        <x:f>--(OR(I149=1,J149=1,K149=1,L149=1))</x:f>
        <x:v>1</x:v>
      </x:c>
    </x:row>
    <x:row r="150">
      <x:c r="A150" t="n">
        <x:f>'00 Compact View'!A150</x:f>
        <x:v>8</x:v>
      </x:c>
      <x:c r="B150" t="n">
        <x:f>'00 Compact View'!B150</x:f>
        <x:v>5</x:v>
      </x:c>
      <x:c r="C150" s="12" t="n">
        <x:f>SUM('00 Compact View'!H150:L150)/5</x:f>
        <x:v>0.2</x:v>
      </x:c>
      <x:c r="D150" s="12" t="n">
        <x:f>SUM('00 Compact View'!M150:Q150)/5</x:f>
        <x:v>0.4</x:v>
      </x:c>
      <x:c r="E150" s="12" t="n">
        <x:f>'00 Compact View'!R150</x:f>
        <x:v>1</x:v>
      </x:c>
      <x:c r="F150" s="12" t="n">
        <x:f>'00 Compact View'!T150</x:f>
        <x:v>0</x:v>
      </x:c>
      <x:c r="G150" s="12" t="n">
        <x:f>'04 Resource Body'!$B$10</x:f>
        <x:v>0</x:v>
      </x:c>
      <x:c r="H150" t="n">
        <x:f>--(M150=0)</x:f>
        <x:v>0</x:v>
      </x:c>
      <x:c r="I150" t="n">
        <x:f>--(MIN(1,C150+D150+(E150*'03 Mind Knobs'!$B$17)+(F150*'03 Mind Knobs'!$B$18)+('03 Mind Knobs'!$B$7*F150))&gt;=MAX(0.15,0.35+(G150*'03 Mind Knobs'!$B$10)-('03 Mind Knobs'!$B$13*0.15)))</x:f>
        <x:v>1</x:v>
      </x:c>
      <x:c r="J150" t="n">
        <x:f>--(MIN(1,C150+D150+(E150*'03 Mind Knobs'!$B$17)+(F150*'03 Mind Knobs'!$B$18)+('03 Mind Knobs'!$B$7*F150))&gt;=MIN(0.95,'03 Mind Knobs'!$B$19+(G150*'03 Mind Knobs'!$B$10)-('03 Mind Knobs'!$B$13*0.10)))</x:f>
        <x:v>1</x:v>
      </x:c>
      <x:c r="K150" t="n">
        <x:f>--(AND(J150=1,OR(E150=1,F150=1)))</x:f>
        <x:v>1</x:v>
      </x:c>
      <x:c r="L150" t="n">
        <x:f>--(MAX(SUMIFS('00 Compact View'!$H$6:$H$205,'00 Compact View'!$A$6:$A$205,A150,'00 Compact View'!$B$6:$B$205,"&gt;="&amp;B150-'03 Mind Knobs'!$B$16+1,'00 Compact View'!$B$6:$B$205,"&lt;="&amp;B150),SUMIFS('00 Compact View'!$I$6:$I$205,'00 Compact View'!$A$6:$A$205,A150,'00 Compact View'!$B$6:$B$205,"&gt;="&amp;B150-'03 Mind Knobs'!$B$16+1,'00 Compact View'!$B$6:$B$205,"&lt;="&amp;B150),SUMIFS('00 Compact View'!$J$6:$J$205,'00 Compact View'!$A$6:$A$205,A150,'00 Compact View'!$B$6:$B$205,"&gt;="&amp;B150-'03 Mind Knobs'!$B$16+1,'00 Compact View'!$B$6:$B$205,"&lt;="&amp;B150),SUMIFS('00 Compact View'!$K$6:$K$205,'00 Compact View'!$A$6:$A$205,A150,'00 Compact View'!$B$6:$B$205,"&gt;="&amp;B150-'03 Mind Knobs'!$B$16+1,'00 Compact View'!$B$6:$B$205,"&lt;="&amp;B150),SUMIFS('00 Compact View'!$L$6:$L$205,'00 Compact View'!$A$6:$A$205,A150,'00 Compact View'!$B$6:$B$205,"&gt;="&amp;B150-'03 Mind Knobs'!$B$16+1,'00 Compact View'!$B$6:$B$205,"&lt;="&amp;B150))&gt;=MAX(1,ROUNDUP('03 Mind Knobs'!$B$16*(1-'03 Mind Knobs'!$B$8),0)))</x:f>
        <x:v>0</x:v>
      </x:c>
      <x:c r="M150" t="n">
        <x:f>--(OR(I150=1,J150=1,K150=1,L150=1))</x:f>
        <x:v>1</x:v>
      </x:c>
    </x:row>
    <x:row r="151">
      <x:c r="A151" t="n">
        <x:f>'00 Compact View'!A151</x:f>
        <x:v>8</x:v>
      </x:c>
      <x:c r="B151" t="n">
        <x:f>'00 Compact View'!B151</x:f>
        <x:v>6</x:v>
      </x:c>
      <x:c r="C151" s="12" t="n">
        <x:f>SUM('00 Compact View'!H151:L151)/5</x:f>
        <x:v>0</x:v>
      </x:c>
      <x:c r="D151" s="12" t="n">
        <x:f>SUM('00 Compact View'!M151:Q151)/5</x:f>
        <x:v>0.6</x:v>
      </x:c>
      <x:c r="E151" s="12" t="n">
        <x:f>'00 Compact View'!R151</x:f>
        <x:v>1</x:v>
      </x:c>
      <x:c r="F151" s="12" t="n">
        <x:f>'00 Compact View'!T151</x:f>
        <x:v>1</x:v>
      </x:c>
      <x:c r="G151" s="12" t="n">
        <x:f>'04 Resource Body'!$B$10</x:f>
        <x:v>0</x:v>
      </x:c>
      <x:c r="H151" t="n">
        <x:f>--(M151=0)</x:f>
        <x:v>0</x:v>
      </x:c>
      <x:c r="I151" t="n">
        <x:f>--(MIN(1,C151+D151+(E151*'03 Mind Knobs'!$B$17)+(F151*'03 Mind Knobs'!$B$18)+('03 Mind Knobs'!$B$7*F151))&gt;=MAX(0.15,0.35+(G151*'03 Mind Knobs'!$B$10)-('03 Mind Knobs'!$B$13*0.15)))</x:f>
        <x:v>1</x:v>
      </x:c>
      <x:c r="J151" t="n">
        <x:f>--(MIN(1,C151+D151+(E151*'03 Mind Knobs'!$B$17)+(F151*'03 Mind Knobs'!$B$18)+('03 Mind Knobs'!$B$7*F151))&gt;=MIN(0.95,'03 Mind Knobs'!$B$19+(G151*'03 Mind Knobs'!$B$10)-('03 Mind Knobs'!$B$13*0.10)))</x:f>
        <x:v>1</x:v>
      </x:c>
      <x:c r="K151" t="n">
        <x:f>--(AND(J151=1,OR(E151=1,F151=1)))</x:f>
        <x:v>1</x:v>
      </x:c>
      <x:c r="L151" t="n">
        <x:f>--(MAX(SUMIFS('00 Compact View'!$H$6:$H$205,'00 Compact View'!$A$6:$A$205,A151,'00 Compact View'!$B$6:$B$205,"&gt;="&amp;B151-'03 Mind Knobs'!$B$16+1,'00 Compact View'!$B$6:$B$205,"&lt;="&amp;B151),SUMIFS('00 Compact View'!$I$6:$I$205,'00 Compact View'!$A$6:$A$205,A151,'00 Compact View'!$B$6:$B$205,"&gt;="&amp;B151-'03 Mind Knobs'!$B$16+1,'00 Compact View'!$B$6:$B$205,"&lt;="&amp;B151),SUMIFS('00 Compact View'!$J$6:$J$205,'00 Compact View'!$A$6:$A$205,A151,'00 Compact View'!$B$6:$B$205,"&gt;="&amp;B151-'03 Mind Knobs'!$B$16+1,'00 Compact View'!$B$6:$B$205,"&lt;="&amp;B151),SUMIFS('00 Compact View'!$K$6:$K$205,'00 Compact View'!$A$6:$A$205,A151,'00 Compact View'!$B$6:$B$205,"&gt;="&amp;B151-'03 Mind Knobs'!$B$16+1,'00 Compact View'!$B$6:$B$205,"&lt;="&amp;B151),SUMIFS('00 Compact View'!$L$6:$L$205,'00 Compact View'!$A$6:$A$205,A151,'00 Compact View'!$B$6:$B$205,"&gt;="&amp;B151-'03 Mind Knobs'!$B$16+1,'00 Compact View'!$B$6:$B$205,"&lt;="&amp;B151))&gt;=MAX(1,ROUNDUP('03 Mind Knobs'!$B$16*(1-'03 Mind Knobs'!$B$8),0)))</x:f>
        <x:v>0</x:v>
      </x:c>
      <x:c r="M151" t="n">
        <x:f>--(OR(I151=1,J151=1,K151=1,L151=1))</x:f>
        <x:v>1</x:v>
      </x:c>
    </x:row>
    <x:row r="152">
      <x:c r="A152" t="n">
        <x:f>'00 Compact View'!A152</x:f>
        <x:v>8</x:v>
      </x:c>
      <x:c r="B152" t="n">
        <x:f>'00 Compact View'!B152</x:f>
        <x:v>7</x:v>
      </x:c>
      <x:c r="C152" s="12" t="n">
        <x:f>SUM('00 Compact View'!H152:L152)/5</x:f>
        <x:v>0</x:v>
      </x:c>
      <x:c r="D152" s="12" t="n">
        <x:f>SUM('00 Compact View'!M152:Q152)/5</x:f>
        <x:v>0.6</x:v>
      </x:c>
      <x:c r="E152" s="12" t="n">
        <x:f>'00 Compact View'!R152</x:f>
        <x:v>1</x:v>
      </x:c>
      <x:c r="F152" s="12" t="n">
        <x:f>'00 Compact View'!T152</x:f>
        <x:v>0</x:v>
      </x:c>
      <x:c r="G152" s="12" t="n">
        <x:f>'04 Resource Body'!$B$10</x:f>
        <x:v>0</x:v>
      </x:c>
      <x:c r="H152" t="n">
        <x:f>--(M152=0)</x:f>
        <x:v>0</x:v>
      </x:c>
      <x:c r="I152" t="n">
        <x:f>--(MIN(1,C152+D152+(E152*'03 Mind Knobs'!$B$17)+(F152*'03 Mind Knobs'!$B$18)+('03 Mind Knobs'!$B$7*F152))&gt;=MAX(0.15,0.35+(G152*'03 Mind Knobs'!$B$10)-('03 Mind Knobs'!$B$13*0.15)))</x:f>
        <x:v>1</x:v>
      </x:c>
      <x:c r="J152" t="n">
        <x:f>--(MIN(1,C152+D152+(E152*'03 Mind Knobs'!$B$17)+(F152*'03 Mind Knobs'!$B$18)+('03 Mind Knobs'!$B$7*F152))&gt;=MIN(0.95,'03 Mind Knobs'!$B$19+(G152*'03 Mind Knobs'!$B$10)-('03 Mind Knobs'!$B$13*0.10)))</x:f>
        <x:v>1</x:v>
      </x:c>
      <x:c r="K152" t="n">
        <x:f>--(AND(J152=1,OR(E152=1,F152=1)))</x:f>
        <x:v>1</x:v>
      </x:c>
      <x:c r="L152" t="n">
        <x:f>--(MAX(SUMIFS('00 Compact View'!$H$6:$H$205,'00 Compact View'!$A$6:$A$205,A152,'00 Compact View'!$B$6:$B$205,"&gt;="&amp;B152-'03 Mind Knobs'!$B$16+1,'00 Compact View'!$B$6:$B$205,"&lt;="&amp;B152),SUMIFS('00 Compact View'!$I$6:$I$205,'00 Compact View'!$A$6:$A$205,A152,'00 Compact View'!$B$6:$B$205,"&gt;="&amp;B152-'03 Mind Knobs'!$B$16+1,'00 Compact View'!$B$6:$B$205,"&lt;="&amp;B152),SUMIFS('00 Compact View'!$J$6:$J$205,'00 Compact View'!$A$6:$A$205,A152,'00 Compact View'!$B$6:$B$205,"&gt;="&amp;B152-'03 Mind Knobs'!$B$16+1,'00 Compact View'!$B$6:$B$205,"&lt;="&amp;B152),SUMIFS('00 Compact View'!$K$6:$K$205,'00 Compact View'!$A$6:$A$205,A152,'00 Compact View'!$B$6:$B$205,"&gt;="&amp;B152-'03 Mind Knobs'!$B$16+1,'00 Compact View'!$B$6:$B$205,"&lt;="&amp;B152),SUMIFS('00 Compact View'!$L$6:$L$205,'00 Compact View'!$A$6:$A$205,A152,'00 Compact View'!$B$6:$B$205,"&gt;="&amp;B152-'03 Mind Knobs'!$B$16+1,'00 Compact View'!$B$6:$B$205,"&lt;="&amp;B152))&gt;=MAX(1,ROUNDUP('03 Mind Knobs'!$B$16*(1-'03 Mind Knobs'!$B$8),0)))</x:f>
        <x:v>0</x:v>
      </x:c>
      <x:c r="M152" t="n">
        <x:f>--(OR(I152=1,J152=1,K152=1,L152=1))</x:f>
        <x:v>1</x:v>
      </x:c>
    </x:row>
    <x:row r="153">
      <x:c r="A153" t="n">
        <x:f>'00 Compact View'!A153</x:f>
        <x:v>8</x:v>
      </x:c>
      <x:c r="B153" t="n">
        <x:f>'00 Compact View'!B153</x:f>
        <x:v>8</x:v>
      </x:c>
      <x:c r="C153" s="12" t="n">
        <x:f>SUM('00 Compact View'!H153:L153)/5</x:f>
        <x:v>0.2</x:v>
      </x:c>
      <x:c r="D153" s="12" t="n">
        <x:f>SUM('00 Compact View'!M153:Q153)/5</x:f>
        <x:v>0.4</x:v>
      </x:c>
      <x:c r="E153" s="12" t="n">
        <x:f>'00 Compact View'!R153</x:f>
        <x:v>1</x:v>
      </x:c>
      <x:c r="F153" s="12" t="n">
        <x:f>'00 Compact View'!T153</x:f>
        <x:v>1</x:v>
      </x:c>
      <x:c r="G153" s="12" t="n">
        <x:f>'04 Resource Body'!$B$10</x:f>
        <x:v>0</x:v>
      </x:c>
      <x:c r="H153" t="n">
        <x:f>--(M153=0)</x:f>
        <x:v>0</x:v>
      </x:c>
      <x:c r="I153" t="n">
        <x:f>--(MIN(1,C153+D153+(E153*'03 Mind Knobs'!$B$17)+(F153*'03 Mind Knobs'!$B$18)+('03 Mind Knobs'!$B$7*F153))&gt;=MAX(0.15,0.35+(G153*'03 Mind Knobs'!$B$10)-('03 Mind Knobs'!$B$13*0.15)))</x:f>
        <x:v>1</x:v>
      </x:c>
      <x:c r="J153" t="n">
        <x:f>--(MIN(1,C153+D153+(E153*'03 Mind Knobs'!$B$17)+(F153*'03 Mind Knobs'!$B$18)+('03 Mind Knobs'!$B$7*F153))&gt;=MIN(0.95,'03 Mind Knobs'!$B$19+(G153*'03 Mind Knobs'!$B$10)-('03 Mind Knobs'!$B$13*0.10)))</x:f>
        <x:v>1</x:v>
      </x:c>
      <x:c r="K153" t="n">
        <x:f>--(AND(J153=1,OR(E153=1,F153=1)))</x:f>
        <x:v>1</x:v>
      </x:c>
      <x:c r="L153" t="n">
        <x:f>--(MAX(SUMIFS('00 Compact View'!$H$6:$H$205,'00 Compact View'!$A$6:$A$205,A153,'00 Compact View'!$B$6:$B$205,"&gt;="&amp;B153-'03 Mind Knobs'!$B$16+1,'00 Compact View'!$B$6:$B$205,"&lt;="&amp;B153),SUMIFS('00 Compact View'!$I$6:$I$205,'00 Compact View'!$A$6:$A$205,A153,'00 Compact View'!$B$6:$B$205,"&gt;="&amp;B153-'03 Mind Knobs'!$B$16+1,'00 Compact View'!$B$6:$B$205,"&lt;="&amp;B153),SUMIFS('00 Compact View'!$J$6:$J$205,'00 Compact View'!$A$6:$A$205,A153,'00 Compact View'!$B$6:$B$205,"&gt;="&amp;B153-'03 Mind Knobs'!$B$16+1,'00 Compact View'!$B$6:$B$205,"&lt;="&amp;B153),SUMIFS('00 Compact View'!$K$6:$K$205,'00 Compact View'!$A$6:$A$205,A153,'00 Compact View'!$B$6:$B$205,"&gt;="&amp;B153-'03 Mind Knobs'!$B$16+1,'00 Compact View'!$B$6:$B$205,"&lt;="&amp;B153),SUMIFS('00 Compact View'!$L$6:$L$205,'00 Compact View'!$A$6:$A$205,A153,'00 Compact View'!$B$6:$B$205,"&gt;="&amp;B153-'03 Mind Knobs'!$B$16+1,'00 Compact View'!$B$6:$B$205,"&lt;="&amp;B153))&gt;=MAX(1,ROUNDUP('03 Mind Knobs'!$B$16*(1-'03 Mind Knobs'!$B$8),0)))</x:f>
        <x:v>0</x:v>
      </x:c>
      <x:c r="M153" t="n">
        <x:f>--(OR(I153=1,J153=1,K153=1,L153=1))</x:f>
        <x:v>1</x:v>
      </x:c>
    </x:row>
    <x:row r="154">
      <x:c r="A154" t="n">
        <x:f>'00 Compact View'!A154</x:f>
        <x:v>8</x:v>
      </x:c>
      <x:c r="B154" t="n">
        <x:f>'00 Compact View'!B154</x:f>
        <x:v>9</x:v>
      </x:c>
      <x:c r="C154" s="12" t="n">
        <x:f>SUM('00 Compact View'!H154:L154)/5</x:f>
        <x:v>0</x:v>
      </x:c>
      <x:c r="D154" s="12" t="n">
        <x:f>SUM('00 Compact View'!M154:Q154)/5</x:f>
        <x:v>0.2</x:v>
      </x:c>
      <x:c r="E154" s="12" t="n">
        <x:f>'00 Compact View'!R154</x:f>
        <x:v>0</x:v>
      </x:c>
      <x:c r="F154" s="12" t="n">
        <x:f>'00 Compact View'!T154</x:f>
        <x:v>1</x:v>
      </x:c>
      <x:c r="G154" s="12" t="n">
        <x:f>'04 Resource Body'!$B$10</x:f>
        <x:v>0</x:v>
      </x:c>
      <x:c r="H154" t="n">
        <x:f>--(M154=0)</x:f>
        <x:v>0</x:v>
      </x:c>
      <x:c r="I154" t="n">
        <x:f>--(MIN(1,C154+D154+(E154*'03 Mind Knobs'!$B$17)+(F154*'03 Mind Knobs'!$B$18)+('03 Mind Knobs'!$B$7*F154))&gt;=MAX(0.15,0.35+(G154*'03 Mind Knobs'!$B$10)-('03 Mind Knobs'!$B$13*0.15)))</x:f>
        <x:v>1</x:v>
      </x:c>
      <x:c r="J154" t="n">
        <x:f>--(MIN(1,C154+D154+(E154*'03 Mind Knobs'!$B$17)+(F154*'03 Mind Knobs'!$B$18)+('03 Mind Knobs'!$B$7*F154))&gt;=MIN(0.95,'03 Mind Knobs'!$B$19+(G154*'03 Mind Knobs'!$B$10)-('03 Mind Knobs'!$B$13*0.10)))</x:f>
        <x:v>1</x:v>
      </x:c>
      <x:c r="K154" t="n">
        <x:f>--(AND(J154=1,OR(E154=1,F154=1)))</x:f>
        <x:v>1</x:v>
      </x:c>
      <x:c r="L154" t="n">
        <x:f>--(MAX(SUMIFS('00 Compact View'!$H$6:$H$205,'00 Compact View'!$A$6:$A$205,A154,'00 Compact View'!$B$6:$B$205,"&gt;="&amp;B154-'03 Mind Knobs'!$B$16+1,'00 Compact View'!$B$6:$B$205,"&lt;="&amp;B154),SUMIFS('00 Compact View'!$I$6:$I$205,'00 Compact View'!$A$6:$A$205,A154,'00 Compact View'!$B$6:$B$205,"&gt;="&amp;B154-'03 Mind Knobs'!$B$16+1,'00 Compact View'!$B$6:$B$205,"&lt;="&amp;B154),SUMIFS('00 Compact View'!$J$6:$J$205,'00 Compact View'!$A$6:$A$205,A154,'00 Compact View'!$B$6:$B$205,"&gt;="&amp;B154-'03 Mind Knobs'!$B$16+1,'00 Compact View'!$B$6:$B$205,"&lt;="&amp;B154),SUMIFS('00 Compact View'!$K$6:$K$205,'00 Compact View'!$A$6:$A$205,A154,'00 Compact View'!$B$6:$B$205,"&gt;="&amp;B154-'03 Mind Knobs'!$B$16+1,'00 Compact View'!$B$6:$B$205,"&lt;="&amp;B154),SUMIFS('00 Compact View'!$L$6:$L$205,'00 Compact View'!$A$6:$A$205,A154,'00 Compact View'!$B$6:$B$205,"&gt;="&amp;B154-'03 Mind Knobs'!$B$16+1,'00 Compact View'!$B$6:$B$205,"&lt;="&amp;B154))&gt;=MAX(1,ROUNDUP('03 Mind Knobs'!$B$16*(1-'03 Mind Knobs'!$B$8),0)))</x:f>
        <x:v>0</x:v>
      </x:c>
      <x:c r="M154" t="n">
        <x:f>--(OR(I154=1,J154=1,K154=1,L154=1))</x:f>
        <x:v>1</x:v>
      </x:c>
    </x:row>
    <x:row r="155">
      <x:c r="A155" t="n">
        <x:f>'00 Compact View'!A155</x:f>
        <x:v>8</x:v>
      </x:c>
      <x:c r="B155" t="n">
        <x:f>'00 Compact View'!B155</x:f>
        <x:v>10</x:v>
      </x:c>
      <x:c r="C155" s="12" t="n">
        <x:f>SUM('00 Compact View'!H155:L155)/5</x:f>
        <x:v>0.2</x:v>
      </x:c>
      <x:c r="D155" s="12" t="n">
        <x:f>SUM('00 Compact View'!M155:Q155)/5</x:f>
        <x:v>0.2</x:v>
      </x:c>
      <x:c r="E155" s="12" t="n">
        <x:f>'00 Compact View'!R155</x:f>
        <x:v>0</x:v>
      </x:c>
      <x:c r="F155" s="12" t="n">
        <x:f>'00 Compact View'!T155</x:f>
        <x:v>0</x:v>
      </x:c>
      <x:c r="G155" s="12" t="n">
        <x:f>'04 Resource Body'!$B$10</x:f>
        <x:v>0</x:v>
      </x:c>
      <x:c r="H155" t="n">
        <x:f>--(M155=0)</x:f>
        <x:v>0</x:v>
      </x:c>
      <x:c r="I155" t="n">
        <x:f>--(MIN(1,C155+D155+(E155*'03 Mind Knobs'!$B$17)+(F155*'03 Mind Knobs'!$B$18)+('03 Mind Knobs'!$B$7*F155))&gt;=MAX(0.15,0.35+(G155*'03 Mind Knobs'!$B$10)-('03 Mind Knobs'!$B$13*0.15)))</x:f>
        <x:v>1</x:v>
      </x:c>
      <x:c r="J155" t="n">
        <x:f>--(MIN(1,C155+D155+(E155*'03 Mind Knobs'!$B$17)+(F155*'03 Mind Knobs'!$B$18)+('03 Mind Knobs'!$B$7*F155))&gt;=MIN(0.95,'03 Mind Knobs'!$B$19+(G155*'03 Mind Knobs'!$B$10)-('03 Mind Knobs'!$B$13*0.10)))</x:f>
        <x:v>0</x:v>
      </x:c>
      <x:c r="K155" t="n">
        <x:f>--(AND(J155=1,OR(E155=1,F155=1)))</x:f>
        <x:v>0</x:v>
      </x:c>
      <x:c r="L155" t="n">
        <x:f>--(MAX(SUMIFS('00 Compact View'!$H$6:$H$205,'00 Compact View'!$A$6:$A$205,A155,'00 Compact View'!$B$6:$B$205,"&gt;="&amp;B155-'03 Mind Knobs'!$B$16+1,'00 Compact View'!$B$6:$B$205,"&lt;="&amp;B155),SUMIFS('00 Compact View'!$I$6:$I$205,'00 Compact View'!$A$6:$A$205,A155,'00 Compact View'!$B$6:$B$205,"&gt;="&amp;B155-'03 Mind Knobs'!$B$16+1,'00 Compact View'!$B$6:$B$205,"&lt;="&amp;B155),SUMIFS('00 Compact View'!$J$6:$J$205,'00 Compact View'!$A$6:$A$205,A155,'00 Compact View'!$B$6:$B$205,"&gt;="&amp;B155-'03 Mind Knobs'!$B$16+1,'00 Compact View'!$B$6:$B$205,"&lt;="&amp;B155),SUMIFS('00 Compact View'!$K$6:$K$205,'00 Compact View'!$A$6:$A$205,A155,'00 Compact View'!$B$6:$B$205,"&gt;="&amp;B155-'03 Mind Knobs'!$B$16+1,'00 Compact View'!$B$6:$B$205,"&lt;="&amp;B155),SUMIFS('00 Compact View'!$L$6:$L$205,'00 Compact View'!$A$6:$A$205,A155,'00 Compact View'!$B$6:$B$205,"&gt;="&amp;B155-'03 Mind Knobs'!$B$16+1,'00 Compact View'!$B$6:$B$205,"&lt;="&amp;B155))&gt;=MAX(1,ROUNDUP('03 Mind Knobs'!$B$16*(1-'03 Mind Knobs'!$B$8),0)))</x:f>
        <x:v>0</x:v>
      </x:c>
      <x:c r="M155" t="n">
        <x:f>--(OR(I155=1,J155=1,K155=1,L155=1))</x:f>
        <x:v>1</x:v>
      </x:c>
    </x:row>
    <x:row r="156">
      <x:c r="A156" t="n">
        <x:f>'00 Compact View'!A156</x:f>
        <x:v>8</x:v>
      </x:c>
      <x:c r="B156" t="n">
        <x:f>'00 Compact View'!B156</x:f>
        <x:v>11</x:v>
      </x:c>
      <x:c r="C156" s="12" t="n">
        <x:f>SUM('00 Compact View'!H156:L156)/5</x:f>
        <x:v>0</x:v>
      </x:c>
      <x:c r="D156" s="12" t="n">
        <x:f>SUM('00 Compact View'!M156:Q156)/5</x:f>
        <x:v>0.2</x:v>
      </x:c>
      <x:c r="E156" s="12" t="n">
        <x:f>'00 Compact View'!R156</x:f>
        <x:v>0</x:v>
      </x:c>
      <x:c r="F156" s="12" t="n">
        <x:f>'00 Compact View'!T156</x:f>
        <x:v>0</x:v>
      </x:c>
      <x:c r="G156" s="12" t="n">
        <x:f>'04 Resource Body'!$B$10</x:f>
        <x:v>0</x:v>
      </x:c>
      <x:c r="H156" t="n">
        <x:f>--(M156=0)</x:f>
        <x:v>1</x:v>
      </x:c>
      <x:c r="I156" t="n">
        <x:f>--(MIN(1,C156+D156+(E156*'03 Mind Knobs'!$B$17)+(F156*'03 Mind Knobs'!$B$18)+('03 Mind Knobs'!$B$7*F156))&gt;=MAX(0.15,0.35+(G156*'03 Mind Knobs'!$B$10)-('03 Mind Knobs'!$B$13*0.15)))</x:f>
        <x:v>0</x:v>
      </x:c>
      <x:c r="J156" t="n">
        <x:f>--(MIN(1,C156+D156+(E156*'03 Mind Knobs'!$B$17)+(F156*'03 Mind Knobs'!$B$18)+('03 Mind Knobs'!$B$7*F156))&gt;=MIN(0.95,'03 Mind Knobs'!$B$19+(G156*'03 Mind Knobs'!$B$10)-('03 Mind Knobs'!$B$13*0.10)))</x:f>
        <x:v>0</x:v>
      </x:c>
      <x:c r="K156" t="n">
        <x:f>--(AND(J156=1,OR(E156=1,F156=1)))</x:f>
        <x:v>0</x:v>
      </x:c>
      <x:c r="L156" t="n">
        <x:f>--(MAX(SUMIFS('00 Compact View'!$H$6:$H$205,'00 Compact View'!$A$6:$A$205,A156,'00 Compact View'!$B$6:$B$205,"&gt;="&amp;B156-'03 Mind Knobs'!$B$16+1,'00 Compact View'!$B$6:$B$205,"&lt;="&amp;B156),SUMIFS('00 Compact View'!$I$6:$I$205,'00 Compact View'!$A$6:$A$205,A156,'00 Compact View'!$B$6:$B$205,"&gt;="&amp;B156-'03 Mind Knobs'!$B$16+1,'00 Compact View'!$B$6:$B$205,"&lt;="&amp;B156),SUMIFS('00 Compact View'!$J$6:$J$205,'00 Compact View'!$A$6:$A$205,A156,'00 Compact View'!$B$6:$B$205,"&gt;="&amp;B156-'03 Mind Knobs'!$B$16+1,'00 Compact View'!$B$6:$B$205,"&lt;="&amp;B156),SUMIFS('00 Compact View'!$K$6:$K$205,'00 Compact View'!$A$6:$A$205,A156,'00 Compact View'!$B$6:$B$205,"&gt;="&amp;B156-'03 Mind Knobs'!$B$16+1,'00 Compact View'!$B$6:$B$205,"&lt;="&amp;B156),SUMIFS('00 Compact View'!$L$6:$L$205,'00 Compact View'!$A$6:$A$205,A156,'00 Compact View'!$B$6:$B$205,"&gt;="&amp;B156-'03 Mind Knobs'!$B$16+1,'00 Compact View'!$B$6:$B$205,"&lt;="&amp;B156))&gt;=MAX(1,ROUNDUP('03 Mind Knobs'!$B$16*(1-'03 Mind Knobs'!$B$8),0)))</x:f>
        <x:v>0</x:v>
      </x:c>
      <x:c r="M156" t="n">
        <x:f>--(OR(I156=1,J156=1,K156=1,L156=1))</x:f>
        <x:v>0</x:v>
      </x:c>
    </x:row>
    <x:row r="157">
      <x:c r="A157" t="n">
        <x:f>'00 Compact View'!A157</x:f>
        <x:v>8</x:v>
      </x:c>
      <x:c r="B157" t="n">
        <x:f>'00 Compact View'!B157</x:f>
        <x:v>12</x:v>
      </x:c>
      <x:c r="C157" s="12" t="n">
        <x:f>SUM('00 Compact View'!H157:L157)/5</x:f>
        <x:v>0.2</x:v>
      </x:c>
      <x:c r="D157" s="12" t="n">
        <x:f>SUM('00 Compact View'!M157:Q157)/5</x:f>
        <x:v>0.6</x:v>
      </x:c>
      <x:c r="E157" s="12" t="n">
        <x:f>'00 Compact View'!R157</x:f>
        <x:v>1</x:v>
      </x:c>
      <x:c r="F157" s="12" t="n">
        <x:f>'00 Compact View'!T157</x:f>
        <x:v>1</x:v>
      </x:c>
      <x:c r="G157" s="12" t="n">
        <x:f>'04 Resource Body'!$B$10</x:f>
        <x:v>0</x:v>
      </x:c>
      <x:c r="H157" t="n">
        <x:f>--(M157=0)</x:f>
        <x:v>0</x:v>
      </x:c>
      <x:c r="I157" t="n">
        <x:f>--(MIN(1,C157+D157+(E157*'03 Mind Knobs'!$B$17)+(F157*'03 Mind Knobs'!$B$18)+('03 Mind Knobs'!$B$7*F157))&gt;=MAX(0.15,0.35+(G157*'03 Mind Knobs'!$B$10)-('03 Mind Knobs'!$B$13*0.15)))</x:f>
        <x:v>1</x:v>
      </x:c>
      <x:c r="J157" t="n">
        <x:f>--(MIN(1,C157+D157+(E157*'03 Mind Knobs'!$B$17)+(F157*'03 Mind Knobs'!$B$18)+('03 Mind Knobs'!$B$7*F157))&gt;=MIN(0.95,'03 Mind Knobs'!$B$19+(G157*'03 Mind Knobs'!$B$10)-('03 Mind Knobs'!$B$13*0.10)))</x:f>
        <x:v>1</x:v>
      </x:c>
      <x:c r="K157" t="n">
        <x:f>--(AND(J157=1,OR(E157=1,F157=1)))</x:f>
        <x:v>1</x:v>
      </x:c>
      <x:c r="L157" t="n">
        <x:f>--(MAX(SUMIFS('00 Compact View'!$H$6:$H$205,'00 Compact View'!$A$6:$A$205,A157,'00 Compact View'!$B$6:$B$205,"&gt;="&amp;B157-'03 Mind Knobs'!$B$16+1,'00 Compact View'!$B$6:$B$205,"&lt;="&amp;B157),SUMIFS('00 Compact View'!$I$6:$I$205,'00 Compact View'!$A$6:$A$205,A157,'00 Compact View'!$B$6:$B$205,"&gt;="&amp;B157-'03 Mind Knobs'!$B$16+1,'00 Compact View'!$B$6:$B$205,"&lt;="&amp;B157),SUMIFS('00 Compact View'!$J$6:$J$205,'00 Compact View'!$A$6:$A$205,A157,'00 Compact View'!$B$6:$B$205,"&gt;="&amp;B157-'03 Mind Knobs'!$B$16+1,'00 Compact View'!$B$6:$B$205,"&lt;="&amp;B157),SUMIFS('00 Compact View'!$K$6:$K$205,'00 Compact View'!$A$6:$A$205,A157,'00 Compact View'!$B$6:$B$205,"&gt;="&amp;B157-'03 Mind Knobs'!$B$16+1,'00 Compact View'!$B$6:$B$205,"&lt;="&amp;B157),SUMIFS('00 Compact View'!$L$6:$L$205,'00 Compact View'!$A$6:$A$205,A157,'00 Compact View'!$B$6:$B$205,"&gt;="&amp;B157-'03 Mind Knobs'!$B$16+1,'00 Compact View'!$B$6:$B$205,"&lt;="&amp;B157))&gt;=MAX(1,ROUNDUP('03 Mind Knobs'!$B$16*(1-'03 Mind Knobs'!$B$8),0)))</x:f>
        <x:v>0</x:v>
      </x:c>
      <x:c r="M157" t="n">
        <x:f>--(OR(I157=1,J157=1,K157=1,L157=1))</x:f>
        <x:v>1</x:v>
      </x:c>
    </x:row>
    <x:row r="158">
      <x:c r="A158" t="n">
        <x:f>'00 Compact View'!A158</x:f>
        <x:v>8</x:v>
      </x:c>
      <x:c r="B158" t="n">
        <x:f>'00 Compact View'!B158</x:f>
        <x:v>13</x:v>
      </x:c>
      <x:c r="C158" s="12" t="n">
        <x:f>SUM('00 Compact View'!H158:L158)/5</x:f>
        <x:v>0</x:v>
      </x:c>
      <x:c r="D158" s="12" t="n">
        <x:f>SUM('00 Compact View'!M158:Q158)/5</x:f>
        <x:v>0.6</x:v>
      </x:c>
      <x:c r="E158" s="12" t="n">
        <x:f>'00 Compact View'!R158</x:f>
        <x:v>1</x:v>
      </x:c>
      <x:c r="F158" s="12" t="n">
        <x:f>'00 Compact View'!T158</x:f>
        <x:v>0</x:v>
      </x:c>
      <x:c r="G158" s="12" t="n">
        <x:f>'04 Resource Body'!$B$10</x:f>
        <x:v>0</x:v>
      </x:c>
      <x:c r="H158" t="n">
        <x:f>--(M158=0)</x:f>
        <x:v>0</x:v>
      </x:c>
      <x:c r="I158" t="n">
        <x:f>--(MIN(1,C158+D158+(E158*'03 Mind Knobs'!$B$17)+(F158*'03 Mind Knobs'!$B$18)+('03 Mind Knobs'!$B$7*F158))&gt;=MAX(0.15,0.35+(G158*'03 Mind Knobs'!$B$10)-('03 Mind Knobs'!$B$13*0.15)))</x:f>
        <x:v>1</x:v>
      </x:c>
      <x:c r="J158" t="n">
        <x:f>--(MIN(1,C158+D158+(E158*'03 Mind Knobs'!$B$17)+(F158*'03 Mind Knobs'!$B$18)+('03 Mind Knobs'!$B$7*F158))&gt;=MIN(0.95,'03 Mind Knobs'!$B$19+(G158*'03 Mind Knobs'!$B$10)-('03 Mind Knobs'!$B$13*0.10)))</x:f>
        <x:v>1</x:v>
      </x:c>
      <x:c r="K158" t="n">
        <x:f>--(AND(J158=1,OR(E158=1,F158=1)))</x:f>
        <x:v>1</x:v>
      </x:c>
      <x:c r="L158" t="n">
        <x:f>--(MAX(SUMIFS('00 Compact View'!$H$6:$H$205,'00 Compact View'!$A$6:$A$205,A158,'00 Compact View'!$B$6:$B$205,"&gt;="&amp;B158-'03 Mind Knobs'!$B$16+1,'00 Compact View'!$B$6:$B$205,"&lt;="&amp;B158),SUMIFS('00 Compact View'!$I$6:$I$205,'00 Compact View'!$A$6:$A$205,A158,'00 Compact View'!$B$6:$B$205,"&gt;="&amp;B158-'03 Mind Knobs'!$B$16+1,'00 Compact View'!$B$6:$B$205,"&lt;="&amp;B158),SUMIFS('00 Compact View'!$J$6:$J$205,'00 Compact View'!$A$6:$A$205,A158,'00 Compact View'!$B$6:$B$205,"&gt;="&amp;B158-'03 Mind Knobs'!$B$16+1,'00 Compact View'!$B$6:$B$205,"&lt;="&amp;B158),SUMIFS('00 Compact View'!$K$6:$K$205,'00 Compact View'!$A$6:$A$205,A158,'00 Compact View'!$B$6:$B$205,"&gt;="&amp;B158-'03 Mind Knobs'!$B$16+1,'00 Compact View'!$B$6:$B$205,"&lt;="&amp;B158),SUMIFS('00 Compact View'!$L$6:$L$205,'00 Compact View'!$A$6:$A$205,A158,'00 Compact View'!$B$6:$B$205,"&gt;="&amp;B158-'03 Mind Knobs'!$B$16+1,'00 Compact View'!$B$6:$B$205,"&lt;="&amp;B158))&gt;=MAX(1,ROUNDUP('03 Mind Knobs'!$B$16*(1-'03 Mind Knobs'!$B$8),0)))</x:f>
        <x:v>0</x:v>
      </x:c>
      <x:c r="M158" t="n">
        <x:f>--(OR(I158=1,J158=1,K158=1,L158=1))</x:f>
        <x:v>1</x:v>
      </x:c>
    </x:row>
    <x:row r="159">
      <x:c r="A159" t="n">
        <x:f>'00 Compact View'!A159</x:f>
        <x:v>8</x:v>
      </x:c>
      <x:c r="B159" t="n">
        <x:f>'00 Compact View'!B159</x:f>
        <x:v>14</x:v>
      </x:c>
      <x:c r="C159" s="12" t="n">
        <x:f>SUM('00 Compact View'!H159:L159)/5</x:f>
        <x:v>0</x:v>
      </x:c>
      <x:c r="D159" s="12" t="n">
        <x:f>SUM('00 Compact View'!M159:Q159)/5</x:f>
        <x:v>0.2</x:v>
      </x:c>
      <x:c r="E159" s="12" t="n">
        <x:f>'00 Compact View'!R159</x:f>
        <x:v>0</x:v>
      </x:c>
      <x:c r="F159" s="12" t="n">
        <x:f>'00 Compact View'!T159</x:f>
        <x:v>1</x:v>
      </x:c>
      <x:c r="G159" s="12" t="n">
        <x:f>'04 Resource Body'!$B$10</x:f>
        <x:v>0</x:v>
      </x:c>
      <x:c r="H159" t="n">
        <x:f>--(M159=0)</x:f>
        <x:v>0</x:v>
      </x:c>
      <x:c r="I159" t="n">
        <x:f>--(MIN(1,C159+D159+(E159*'03 Mind Knobs'!$B$17)+(F159*'03 Mind Knobs'!$B$18)+('03 Mind Knobs'!$B$7*F159))&gt;=MAX(0.15,0.35+(G159*'03 Mind Knobs'!$B$10)-('03 Mind Knobs'!$B$13*0.15)))</x:f>
        <x:v>1</x:v>
      </x:c>
      <x:c r="J159" t="n">
        <x:f>--(MIN(1,C159+D159+(E159*'03 Mind Knobs'!$B$17)+(F159*'03 Mind Knobs'!$B$18)+('03 Mind Knobs'!$B$7*F159))&gt;=MIN(0.95,'03 Mind Knobs'!$B$19+(G159*'03 Mind Knobs'!$B$10)-('03 Mind Knobs'!$B$13*0.10)))</x:f>
        <x:v>1</x:v>
      </x:c>
      <x:c r="K159" t="n">
        <x:f>--(AND(J159=1,OR(E159=1,F159=1)))</x:f>
        <x:v>1</x:v>
      </x:c>
      <x:c r="L159" t="n">
        <x:f>--(MAX(SUMIFS('00 Compact View'!$H$6:$H$205,'00 Compact View'!$A$6:$A$205,A159,'00 Compact View'!$B$6:$B$205,"&gt;="&amp;B159-'03 Mind Knobs'!$B$16+1,'00 Compact View'!$B$6:$B$205,"&lt;="&amp;B159),SUMIFS('00 Compact View'!$I$6:$I$205,'00 Compact View'!$A$6:$A$205,A159,'00 Compact View'!$B$6:$B$205,"&gt;="&amp;B159-'03 Mind Knobs'!$B$16+1,'00 Compact View'!$B$6:$B$205,"&lt;="&amp;B159),SUMIFS('00 Compact View'!$J$6:$J$205,'00 Compact View'!$A$6:$A$205,A159,'00 Compact View'!$B$6:$B$205,"&gt;="&amp;B159-'03 Mind Knobs'!$B$16+1,'00 Compact View'!$B$6:$B$205,"&lt;="&amp;B159),SUMIFS('00 Compact View'!$K$6:$K$205,'00 Compact View'!$A$6:$A$205,A159,'00 Compact View'!$B$6:$B$205,"&gt;="&amp;B159-'03 Mind Knobs'!$B$16+1,'00 Compact View'!$B$6:$B$205,"&lt;="&amp;B159),SUMIFS('00 Compact View'!$L$6:$L$205,'00 Compact View'!$A$6:$A$205,A159,'00 Compact View'!$B$6:$B$205,"&gt;="&amp;B159-'03 Mind Knobs'!$B$16+1,'00 Compact View'!$B$6:$B$205,"&lt;="&amp;B159))&gt;=MAX(1,ROUNDUP('03 Mind Knobs'!$B$16*(1-'03 Mind Knobs'!$B$8),0)))</x:f>
        <x:v>0</x:v>
      </x:c>
      <x:c r="M159" t="n">
        <x:f>--(OR(I159=1,J159=1,K159=1,L159=1))</x:f>
        <x:v>1</x:v>
      </x:c>
    </x:row>
    <x:row r="160">
      <x:c r="A160" t="n">
        <x:f>'00 Compact View'!A160</x:f>
        <x:v>8</x:v>
      </x:c>
      <x:c r="B160" t="n">
        <x:f>'00 Compact View'!B160</x:f>
        <x:v>15</x:v>
      </x:c>
      <x:c r="C160" s="12" t="n">
        <x:f>SUM('00 Compact View'!H160:L160)/5</x:f>
        <x:v>0</x:v>
      </x:c>
      <x:c r="D160" s="12" t="n">
        <x:f>SUM('00 Compact View'!M160:Q160)/5</x:f>
        <x:v>0.2</x:v>
      </x:c>
      <x:c r="E160" s="12" t="n">
        <x:f>'00 Compact View'!R160</x:f>
        <x:v>0</x:v>
      </x:c>
      <x:c r="F160" s="12" t="n">
        <x:f>'00 Compact View'!T160</x:f>
        <x:v>0</x:v>
      </x:c>
      <x:c r="G160" s="12" t="n">
        <x:f>'04 Resource Body'!$B$10</x:f>
        <x:v>0</x:v>
      </x:c>
      <x:c r="H160" t="n">
        <x:f>--(M160=0)</x:f>
        <x:v>1</x:v>
      </x:c>
      <x:c r="I160" t="n">
        <x:f>--(MIN(1,C160+D160+(E160*'03 Mind Knobs'!$B$17)+(F160*'03 Mind Knobs'!$B$18)+('03 Mind Knobs'!$B$7*F160))&gt;=MAX(0.15,0.35+(G160*'03 Mind Knobs'!$B$10)-('03 Mind Knobs'!$B$13*0.15)))</x:f>
        <x:v>0</x:v>
      </x:c>
      <x:c r="J160" t="n">
        <x:f>--(MIN(1,C160+D160+(E160*'03 Mind Knobs'!$B$17)+(F160*'03 Mind Knobs'!$B$18)+('03 Mind Knobs'!$B$7*F160))&gt;=MIN(0.95,'03 Mind Knobs'!$B$19+(G160*'03 Mind Knobs'!$B$10)-('03 Mind Knobs'!$B$13*0.10)))</x:f>
        <x:v>0</x:v>
      </x:c>
      <x:c r="K160" t="n">
        <x:f>--(AND(J160=1,OR(E160=1,F160=1)))</x:f>
        <x:v>0</x:v>
      </x:c>
      <x:c r="L160" t="n">
        <x:f>--(MAX(SUMIFS('00 Compact View'!$H$6:$H$205,'00 Compact View'!$A$6:$A$205,A160,'00 Compact View'!$B$6:$B$205,"&gt;="&amp;B160-'03 Mind Knobs'!$B$16+1,'00 Compact View'!$B$6:$B$205,"&lt;="&amp;B160),SUMIFS('00 Compact View'!$I$6:$I$205,'00 Compact View'!$A$6:$A$205,A160,'00 Compact View'!$B$6:$B$205,"&gt;="&amp;B160-'03 Mind Knobs'!$B$16+1,'00 Compact View'!$B$6:$B$205,"&lt;="&amp;B160),SUMIFS('00 Compact View'!$J$6:$J$205,'00 Compact View'!$A$6:$A$205,A160,'00 Compact View'!$B$6:$B$205,"&gt;="&amp;B160-'03 Mind Knobs'!$B$16+1,'00 Compact View'!$B$6:$B$205,"&lt;="&amp;B160),SUMIFS('00 Compact View'!$K$6:$K$205,'00 Compact View'!$A$6:$A$205,A160,'00 Compact View'!$B$6:$B$205,"&gt;="&amp;B160-'03 Mind Knobs'!$B$16+1,'00 Compact View'!$B$6:$B$205,"&lt;="&amp;B160),SUMIFS('00 Compact View'!$L$6:$L$205,'00 Compact View'!$A$6:$A$205,A160,'00 Compact View'!$B$6:$B$205,"&gt;="&amp;B160-'03 Mind Knobs'!$B$16+1,'00 Compact View'!$B$6:$B$205,"&lt;="&amp;B160))&gt;=MAX(1,ROUNDUP('03 Mind Knobs'!$B$16*(1-'03 Mind Knobs'!$B$8),0)))</x:f>
        <x:v>0</x:v>
      </x:c>
      <x:c r="M160" t="n">
        <x:f>--(OR(I160=1,J160=1,K160=1,L160=1))</x:f>
        <x:v>0</x:v>
      </x:c>
    </x:row>
    <x:row r="161">
      <x:c r="A161" t="n">
        <x:f>'00 Compact View'!A161</x:f>
        <x:v>8</x:v>
      </x:c>
      <x:c r="B161" t="n">
        <x:f>'00 Compact View'!B161</x:f>
        <x:v>16</x:v>
      </x:c>
      <x:c r="C161" s="12" t="n">
        <x:f>SUM('00 Compact View'!H161:L161)/5</x:f>
        <x:v>0.2</x:v>
      </x:c>
      <x:c r="D161" s="12" t="n">
        <x:f>SUM('00 Compact View'!M161:Q161)/5</x:f>
        <x:v>0.2</x:v>
      </x:c>
      <x:c r="E161" s="12" t="n">
        <x:f>'00 Compact View'!R161</x:f>
        <x:v>0</x:v>
      </x:c>
      <x:c r="F161" s="12" t="n">
        <x:f>'00 Compact View'!T161</x:f>
        <x:v>0</x:v>
      </x:c>
      <x:c r="G161" s="12" t="n">
        <x:f>'04 Resource Body'!$B$10</x:f>
        <x:v>0</x:v>
      </x:c>
      <x:c r="H161" t="n">
        <x:f>--(M161=0)</x:f>
        <x:v>0</x:v>
      </x:c>
      <x:c r="I161" t="n">
        <x:f>--(MIN(1,C161+D161+(E161*'03 Mind Knobs'!$B$17)+(F161*'03 Mind Knobs'!$B$18)+('03 Mind Knobs'!$B$7*F161))&gt;=MAX(0.15,0.35+(G161*'03 Mind Knobs'!$B$10)-('03 Mind Knobs'!$B$13*0.15)))</x:f>
        <x:v>1</x:v>
      </x:c>
      <x:c r="J161" t="n">
        <x:f>--(MIN(1,C161+D161+(E161*'03 Mind Knobs'!$B$17)+(F161*'03 Mind Knobs'!$B$18)+('03 Mind Knobs'!$B$7*F161))&gt;=MIN(0.95,'03 Mind Knobs'!$B$19+(G161*'03 Mind Knobs'!$B$10)-('03 Mind Knobs'!$B$13*0.10)))</x:f>
        <x:v>0</x:v>
      </x:c>
      <x:c r="K161" t="n">
        <x:f>--(AND(J161=1,OR(E161=1,F161=1)))</x:f>
        <x:v>0</x:v>
      </x:c>
      <x:c r="L161" t="n">
        <x:f>--(MAX(SUMIFS('00 Compact View'!$H$6:$H$205,'00 Compact View'!$A$6:$A$205,A161,'00 Compact View'!$B$6:$B$205,"&gt;="&amp;B161-'03 Mind Knobs'!$B$16+1,'00 Compact View'!$B$6:$B$205,"&lt;="&amp;B161),SUMIFS('00 Compact View'!$I$6:$I$205,'00 Compact View'!$A$6:$A$205,A161,'00 Compact View'!$B$6:$B$205,"&gt;="&amp;B161-'03 Mind Knobs'!$B$16+1,'00 Compact View'!$B$6:$B$205,"&lt;="&amp;B161),SUMIFS('00 Compact View'!$J$6:$J$205,'00 Compact View'!$A$6:$A$205,A161,'00 Compact View'!$B$6:$B$205,"&gt;="&amp;B161-'03 Mind Knobs'!$B$16+1,'00 Compact View'!$B$6:$B$205,"&lt;="&amp;B161),SUMIFS('00 Compact View'!$K$6:$K$205,'00 Compact View'!$A$6:$A$205,A161,'00 Compact View'!$B$6:$B$205,"&gt;="&amp;B161-'03 Mind Knobs'!$B$16+1,'00 Compact View'!$B$6:$B$205,"&lt;="&amp;B161),SUMIFS('00 Compact View'!$L$6:$L$205,'00 Compact View'!$A$6:$A$205,A161,'00 Compact View'!$B$6:$B$205,"&gt;="&amp;B161-'03 Mind Knobs'!$B$16+1,'00 Compact View'!$B$6:$B$205,"&lt;="&amp;B161))&gt;=MAX(1,ROUNDUP('03 Mind Knobs'!$B$16*(1-'03 Mind Knobs'!$B$8),0)))</x:f>
        <x:v>0</x:v>
      </x:c>
      <x:c r="M161" t="n">
        <x:f>--(OR(I161=1,J161=1,K161=1,L161=1))</x:f>
        <x:v>1</x:v>
      </x:c>
    </x:row>
    <x:row r="162">
      <x:c r="A162" t="n">
        <x:f>'00 Compact View'!A162</x:f>
        <x:v>8</x:v>
      </x:c>
      <x:c r="B162" t="n">
        <x:f>'00 Compact View'!B162</x:f>
        <x:v>17</x:v>
      </x:c>
      <x:c r="C162" s="12" t="n">
        <x:f>SUM('00 Compact View'!H162:L162)/5</x:f>
        <x:v>0</x:v>
      </x:c>
      <x:c r="D162" s="12" t="n">
        <x:f>SUM('00 Compact View'!M162:Q162)/5</x:f>
        <x:v>0.2</x:v>
      </x:c>
      <x:c r="E162" s="12" t="n">
        <x:f>'00 Compact View'!R162</x:f>
        <x:v>0</x:v>
      </x:c>
      <x:c r="F162" s="12" t="n">
        <x:f>'00 Compact View'!T162</x:f>
        <x:v>0</x:v>
      </x:c>
      <x:c r="G162" s="12" t="n">
        <x:f>'04 Resource Body'!$B$10</x:f>
        <x:v>0</x:v>
      </x:c>
      <x:c r="H162" t="n">
        <x:f>--(M162=0)</x:f>
        <x:v>1</x:v>
      </x:c>
      <x:c r="I162" t="n">
        <x:f>--(MIN(1,C162+D162+(E162*'03 Mind Knobs'!$B$17)+(F162*'03 Mind Knobs'!$B$18)+('03 Mind Knobs'!$B$7*F162))&gt;=MAX(0.15,0.35+(G162*'03 Mind Knobs'!$B$10)-('03 Mind Knobs'!$B$13*0.15)))</x:f>
        <x:v>0</x:v>
      </x:c>
      <x:c r="J162" t="n">
        <x:f>--(MIN(1,C162+D162+(E162*'03 Mind Knobs'!$B$17)+(F162*'03 Mind Knobs'!$B$18)+('03 Mind Knobs'!$B$7*F162))&gt;=MIN(0.95,'03 Mind Knobs'!$B$19+(G162*'03 Mind Knobs'!$B$10)-('03 Mind Knobs'!$B$13*0.10)))</x:f>
        <x:v>0</x:v>
      </x:c>
      <x:c r="K162" t="n">
        <x:f>--(AND(J162=1,OR(E162=1,F162=1)))</x:f>
        <x:v>0</x:v>
      </x:c>
      <x:c r="L162" t="n">
        <x:f>--(MAX(SUMIFS('00 Compact View'!$H$6:$H$205,'00 Compact View'!$A$6:$A$205,A162,'00 Compact View'!$B$6:$B$205,"&gt;="&amp;B162-'03 Mind Knobs'!$B$16+1,'00 Compact View'!$B$6:$B$205,"&lt;="&amp;B162),SUMIFS('00 Compact View'!$I$6:$I$205,'00 Compact View'!$A$6:$A$205,A162,'00 Compact View'!$B$6:$B$205,"&gt;="&amp;B162-'03 Mind Knobs'!$B$16+1,'00 Compact View'!$B$6:$B$205,"&lt;="&amp;B162),SUMIFS('00 Compact View'!$J$6:$J$205,'00 Compact View'!$A$6:$A$205,A162,'00 Compact View'!$B$6:$B$205,"&gt;="&amp;B162-'03 Mind Knobs'!$B$16+1,'00 Compact View'!$B$6:$B$205,"&lt;="&amp;B162),SUMIFS('00 Compact View'!$K$6:$K$205,'00 Compact View'!$A$6:$A$205,A162,'00 Compact View'!$B$6:$B$205,"&gt;="&amp;B162-'03 Mind Knobs'!$B$16+1,'00 Compact View'!$B$6:$B$205,"&lt;="&amp;B162),SUMIFS('00 Compact View'!$L$6:$L$205,'00 Compact View'!$A$6:$A$205,A162,'00 Compact View'!$B$6:$B$205,"&gt;="&amp;B162-'03 Mind Knobs'!$B$16+1,'00 Compact View'!$B$6:$B$205,"&lt;="&amp;B162))&gt;=MAX(1,ROUNDUP('03 Mind Knobs'!$B$16*(1-'03 Mind Knobs'!$B$8),0)))</x:f>
        <x:v>0</x:v>
      </x:c>
      <x:c r="M162" t="n">
        <x:f>--(OR(I162=1,J162=1,K162=1,L162=1))</x:f>
        <x:v>0</x:v>
      </x:c>
    </x:row>
    <x:row r="163">
      <x:c r="A163" t="n">
        <x:f>'00 Compact View'!A163</x:f>
        <x:v>8</x:v>
      </x:c>
      <x:c r="B163" t="n">
        <x:f>'00 Compact View'!B163</x:f>
        <x:v>18</x:v>
      </x:c>
      <x:c r="C163" s="12" t="n">
        <x:f>SUM('00 Compact View'!H163:L163)/5</x:f>
        <x:v>0</x:v>
      </x:c>
      <x:c r="D163" s="12" t="n">
        <x:f>SUM('00 Compact View'!M163:Q163)/5</x:f>
        <x:v>0.4</x:v>
      </x:c>
      <x:c r="E163" s="12" t="n">
        <x:f>'00 Compact View'!R163</x:f>
        <x:v>1</x:v>
      </x:c>
      <x:c r="F163" s="12" t="n">
        <x:f>'00 Compact View'!T163</x:f>
        <x:v>1</x:v>
      </x:c>
      <x:c r="G163" s="12" t="n">
        <x:f>'04 Resource Body'!$B$10</x:f>
        <x:v>0</x:v>
      </x:c>
      <x:c r="H163" t="n">
        <x:f>--(M163=0)</x:f>
        <x:v>0</x:v>
      </x:c>
      <x:c r="I163" t="n">
        <x:f>--(MIN(1,C163+D163+(E163*'03 Mind Knobs'!$B$17)+(F163*'03 Mind Knobs'!$B$18)+('03 Mind Knobs'!$B$7*F163))&gt;=MAX(0.15,0.35+(G163*'03 Mind Knobs'!$B$10)-('03 Mind Knobs'!$B$13*0.15)))</x:f>
        <x:v>1</x:v>
      </x:c>
      <x:c r="J163" t="n">
        <x:f>--(MIN(1,C163+D163+(E163*'03 Mind Knobs'!$B$17)+(F163*'03 Mind Knobs'!$B$18)+('03 Mind Knobs'!$B$7*F163))&gt;=MIN(0.95,'03 Mind Knobs'!$B$19+(G163*'03 Mind Knobs'!$B$10)-('03 Mind Knobs'!$B$13*0.10)))</x:f>
        <x:v>1</x:v>
      </x:c>
      <x:c r="K163" t="n">
        <x:f>--(AND(J163=1,OR(E163=1,F163=1)))</x:f>
        <x:v>1</x:v>
      </x:c>
      <x:c r="L163" t="n">
        <x:f>--(MAX(SUMIFS('00 Compact View'!$H$6:$H$205,'00 Compact View'!$A$6:$A$205,A163,'00 Compact View'!$B$6:$B$205,"&gt;="&amp;B163-'03 Mind Knobs'!$B$16+1,'00 Compact View'!$B$6:$B$205,"&lt;="&amp;B163),SUMIFS('00 Compact View'!$I$6:$I$205,'00 Compact View'!$A$6:$A$205,A163,'00 Compact View'!$B$6:$B$205,"&gt;="&amp;B163-'03 Mind Knobs'!$B$16+1,'00 Compact View'!$B$6:$B$205,"&lt;="&amp;B163),SUMIFS('00 Compact View'!$J$6:$J$205,'00 Compact View'!$A$6:$A$205,A163,'00 Compact View'!$B$6:$B$205,"&gt;="&amp;B163-'03 Mind Knobs'!$B$16+1,'00 Compact View'!$B$6:$B$205,"&lt;="&amp;B163),SUMIFS('00 Compact View'!$K$6:$K$205,'00 Compact View'!$A$6:$A$205,A163,'00 Compact View'!$B$6:$B$205,"&gt;="&amp;B163-'03 Mind Knobs'!$B$16+1,'00 Compact View'!$B$6:$B$205,"&lt;="&amp;B163),SUMIFS('00 Compact View'!$L$6:$L$205,'00 Compact View'!$A$6:$A$205,A163,'00 Compact View'!$B$6:$B$205,"&gt;="&amp;B163-'03 Mind Knobs'!$B$16+1,'00 Compact View'!$B$6:$B$205,"&lt;="&amp;B163))&gt;=MAX(1,ROUNDUP('03 Mind Knobs'!$B$16*(1-'03 Mind Knobs'!$B$8),0)))</x:f>
        <x:v>0</x:v>
      </x:c>
      <x:c r="M163" t="n">
        <x:f>--(OR(I163=1,J163=1,K163=1,L163=1))</x:f>
        <x:v>1</x:v>
      </x:c>
    </x:row>
    <x:row r="164">
      <x:c r="A164" t="n">
        <x:f>'00 Compact View'!A164</x:f>
        <x:v>8</x:v>
      </x:c>
      <x:c r="B164" t="n">
        <x:f>'00 Compact View'!B164</x:f>
        <x:v>19</x:v>
      </x:c>
      <x:c r="C164" s="12" t="n">
        <x:f>SUM('00 Compact View'!H164:L164)/5</x:f>
        <x:v>0</x:v>
      </x:c>
      <x:c r="D164" s="12" t="n">
        <x:f>SUM('00 Compact View'!M164:Q164)/5</x:f>
        <x:v>0.4</x:v>
      </x:c>
      <x:c r="E164" s="12" t="n">
        <x:f>'00 Compact View'!R164</x:f>
        <x:v>1</x:v>
      </x:c>
      <x:c r="F164" s="12" t="n">
        <x:f>'00 Compact View'!T164</x:f>
        <x:v>0</x:v>
      </x:c>
      <x:c r="G164" s="12" t="n">
        <x:f>'04 Resource Body'!$B$10</x:f>
        <x:v>0</x:v>
      </x:c>
      <x:c r="H164" t="n">
        <x:f>--(M164=0)</x:f>
        <x:v>0</x:v>
      </x:c>
      <x:c r="I164" t="n">
        <x:f>--(MIN(1,C164+D164+(E164*'03 Mind Knobs'!$B$17)+(F164*'03 Mind Knobs'!$B$18)+('03 Mind Knobs'!$B$7*F164))&gt;=MAX(0.15,0.35+(G164*'03 Mind Knobs'!$B$10)-('03 Mind Knobs'!$B$13*0.15)))</x:f>
        <x:v>1</x:v>
      </x:c>
      <x:c r="J164" t="n">
        <x:f>--(MIN(1,C164+D164+(E164*'03 Mind Knobs'!$B$17)+(F164*'03 Mind Knobs'!$B$18)+('03 Mind Knobs'!$B$7*F164))&gt;=MIN(0.95,'03 Mind Knobs'!$B$19+(G164*'03 Mind Knobs'!$B$10)-('03 Mind Knobs'!$B$13*0.10)))</x:f>
        <x:v>1</x:v>
      </x:c>
      <x:c r="K164" t="n">
        <x:f>--(AND(J164=1,OR(E164=1,F164=1)))</x:f>
        <x:v>1</x:v>
      </x:c>
      <x:c r="L164" t="n">
        <x:f>--(MAX(SUMIFS('00 Compact View'!$H$6:$H$205,'00 Compact View'!$A$6:$A$205,A164,'00 Compact View'!$B$6:$B$205,"&gt;="&amp;B164-'03 Mind Knobs'!$B$16+1,'00 Compact View'!$B$6:$B$205,"&lt;="&amp;B164),SUMIFS('00 Compact View'!$I$6:$I$205,'00 Compact View'!$A$6:$A$205,A164,'00 Compact View'!$B$6:$B$205,"&gt;="&amp;B164-'03 Mind Knobs'!$B$16+1,'00 Compact View'!$B$6:$B$205,"&lt;="&amp;B164),SUMIFS('00 Compact View'!$J$6:$J$205,'00 Compact View'!$A$6:$A$205,A164,'00 Compact View'!$B$6:$B$205,"&gt;="&amp;B164-'03 Mind Knobs'!$B$16+1,'00 Compact View'!$B$6:$B$205,"&lt;="&amp;B164),SUMIFS('00 Compact View'!$K$6:$K$205,'00 Compact View'!$A$6:$A$205,A164,'00 Compact View'!$B$6:$B$205,"&gt;="&amp;B164-'03 Mind Knobs'!$B$16+1,'00 Compact View'!$B$6:$B$205,"&lt;="&amp;B164),SUMIFS('00 Compact View'!$L$6:$L$205,'00 Compact View'!$A$6:$A$205,A164,'00 Compact View'!$B$6:$B$205,"&gt;="&amp;B164-'03 Mind Knobs'!$B$16+1,'00 Compact View'!$B$6:$B$205,"&lt;="&amp;B164))&gt;=MAX(1,ROUNDUP('03 Mind Knobs'!$B$16*(1-'03 Mind Knobs'!$B$8),0)))</x:f>
        <x:v>0</x:v>
      </x:c>
      <x:c r="M164" t="n">
        <x:f>--(OR(I164=1,J164=1,K164=1,L164=1))</x:f>
        <x:v>1</x:v>
      </x:c>
    </x:row>
    <x:row r="165">
      <x:c r="A165" t="n">
        <x:f>'00 Compact View'!A165</x:f>
        <x:v>8</x:v>
      </x:c>
      <x:c r="B165" t="n">
        <x:f>'00 Compact View'!B165</x:f>
        <x:v>20</x:v>
      </x:c>
      <x:c r="C165" s="12" t="n">
        <x:f>SUM('00 Compact View'!H165:L165)/5</x:f>
        <x:v>0.4</x:v>
      </x:c>
      <x:c r="D165" s="12" t="n">
        <x:f>SUM('00 Compact View'!M165:Q165)/5</x:f>
        <x:v>0.4</x:v>
      </x:c>
      <x:c r="E165" s="12" t="n">
        <x:f>'00 Compact View'!R165</x:f>
        <x:v>1</x:v>
      </x:c>
      <x:c r="F165" s="12" t="n">
        <x:f>'00 Compact View'!T165</x:f>
        <x:v>0</x:v>
      </x:c>
      <x:c r="G165" s="12" t="n">
        <x:f>'04 Resource Body'!$B$10</x:f>
        <x:v>0</x:v>
      </x:c>
      <x:c r="H165" t="n">
        <x:f>--(M165=0)</x:f>
        <x:v>0</x:v>
      </x:c>
      <x:c r="I165" t="n">
        <x:f>--(MIN(1,C165+D165+(E165*'03 Mind Knobs'!$B$17)+(F165*'03 Mind Knobs'!$B$18)+('03 Mind Knobs'!$B$7*F165))&gt;=MAX(0.15,0.35+(G165*'03 Mind Knobs'!$B$10)-('03 Mind Knobs'!$B$13*0.15)))</x:f>
        <x:v>1</x:v>
      </x:c>
      <x:c r="J165" t="n">
        <x:f>--(MIN(1,C165+D165+(E165*'03 Mind Knobs'!$B$17)+(F165*'03 Mind Knobs'!$B$18)+('03 Mind Knobs'!$B$7*F165))&gt;=MIN(0.95,'03 Mind Knobs'!$B$19+(G165*'03 Mind Knobs'!$B$10)-('03 Mind Knobs'!$B$13*0.10)))</x:f>
        <x:v>1</x:v>
      </x:c>
      <x:c r="K165" t="n">
        <x:f>--(AND(J165=1,OR(E165=1,F165=1)))</x:f>
        <x:v>1</x:v>
      </x:c>
      <x:c r="L165" t="n">
        <x:f>--(MAX(SUMIFS('00 Compact View'!$H$6:$H$205,'00 Compact View'!$A$6:$A$205,A165,'00 Compact View'!$B$6:$B$205,"&gt;="&amp;B165-'03 Mind Knobs'!$B$16+1,'00 Compact View'!$B$6:$B$205,"&lt;="&amp;B165),SUMIFS('00 Compact View'!$I$6:$I$205,'00 Compact View'!$A$6:$A$205,A165,'00 Compact View'!$B$6:$B$205,"&gt;="&amp;B165-'03 Mind Knobs'!$B$16+1,'00 Compact View'!$B$6:$B$205,"&lt;="&amp;B165),SUMIFS('00 Compact View'!$J$6:$J$205,'00 Compact View'!$A$6:$A$205,A165,'00 Compact View'!$B$6:$B$205,"&gt;="&amp;B165-'03 Mind Knobs'!$B$16+1,'00 Compact View'!$B$6:$B$205,"&lt;="&amp;B165),SUMIFS('00 Compact View'!$K$6:$K$205,'00 Compact View'!$A$6:$A$205,A165,'00 Compact View'!$B$6:$B$205,"&gt;="&amp;B165-'03 Mind Knobs'!$B$16+1,'00 Compact View'!$B$6:$B$205,"&lt;="&amp;B165),SUMIFS('00 Compact View'!$L$6:$L$205,'00 Compact View'!$A$6:$A$205,A165,'00 Compact View'!$B$6:$B$205,"&gt;="&amp;B165-'03 Mind Knobs'!$B$16+1,'00 Compact View'!$B$6:$B$205,"&lt;="&amp;B165))&gt;=MAX(1,ROUNDUP('03 Mind Knobs'!$B$16*(1-'03 Mind Knobs'!$B$8),0)))</x:f>
        <x:v>0</x:v>
      </x:c>
      <x:c r="M165" t="n">
        <x:f>--(OR(I165=1,J165=1,K165=1,L165=1))</x:f>
        <x:v>1</x:v>
      </x:c>
    </x:row>
    <x:row r="166">
      <x:c r="A166" t="n">
        <x:f>'00 Compact View'!A166</x:f>
        <x:v>9</x:v>
      </x:c>
      <x:c r="B166" t="n">
        <x:f>'00 Compact View'!B166</x:f>
        <x:v>1</x:v>
      </x:c>
      <x:c r="C166" s="12" t="n">
        <x:f>SUM('00 Compact View'!H166:L166)/5</x:f>
        <x:v>0</x:v>
      </x:c>
      <x:c r="D166" s="12" t="n">
        <x:f>SUM('00 Compact View'!M166:Q166)/5</x:f>
        <x:v>0</x:v>
      </x:c>
      <x:c r="E166" s="12" t="n">
        <x:f>'00 Compact View'!R166</x:f>
        <x:v>0</x:v>
      </x:c>
      <x:c r="F166" s="12" t="n">
        <x:f>'00 Compact View'!T166</x:f>
        <x:v>0</x:v>
      </x:c>
      <x:c r="G166" s="12" t="n">
        <x:f>'04 Resource Body'!$B$10</x:f>
        <x:v>0</x:v>
      </x:c>
      <x:c r="H166" t="n">
        <x:f>--(M166=0)</x:f>
        <x:v>1</x:v>
      </x:c>
      <x:c r="I166" t="n">
        <x:f>--(MIN(1,C166+D166+(E166*'03 Mind Knobs'!$B$17)+(F166*'03 Mind Knobs'!$B$18)+('03 Mind Knobs'!$B$7*F166))&gt;=MAX(0.15,0.35+(G166*'03 Mind Knobs'!$B$10)-('03 Mind Knobs'!$B$13*0.15)))</x:f>
        <x:v>0</x:v>
      </x:c>
      <x:c r="J166" t="n">
        <x:f>--(MIN(1,C166+D166+(E166*'03 Mind Knobs'!$B$17)+(F166*'03 Mind Knobs'!$B$18)+('03 Mind Knobs'!$B$7*F166))&gt;=MIN(0.95,'03 Mind Knobs'!$B$19+(G166*'03 Mind Knobs'!$B$10)-('03 Mind Knobs'!$B$13*0.10)))</x:f>
        <x:v>0</x:v>
      </x:c>
      <x:c r="K166" t="n">
        <x:f>--(AND(J166=1,OR(E166=1,F166=1)))</x:f>
        <x:v>0</x:v>
      </x:c>
      <x:c r="L166" t="n">
        <x:f>--(MAX(SUMIFS('00 Compact View'!$H$6:$H$205,'00 Compact View'!$A$6:$A$205,A166,'00 Compact View'!$B$6:$B$205,"&gt;="&amp;B166-'03 Mind Knobs'!$B$16+1,'00 Compact View'!$B$6:$B$205,"&lt;="&amp;B166),SUMIFS('00 Compact View'!$I$6:$I$205,'00 Compact View'!$A$6:$A$205,A166,'00 Compact View'!$B$6:$B$205,"&gt;="&amp;B166-'03 Mind Knobs'!$B$16+1,'00 Compact View'!$B$6:$B$205,"&lt;="&amp;B166),SUMIFS('00 Compact View'!$J$6:$J$205,'00 Compact View'!$A$6:$A$205,A166,'00 Compact View'!$B$6:$B$205,"&gt;="&amp;B166-'03 Mind Knobs'!$B$16+1,'00 Compact View'!$B$6:$B$205,"&lt;="&amp;B166),SUMIFS('00 Compact View'!$K$6:$K$205,'00 Compact View'!$A$6:$A$205,A166,'00 Compact View'!$B$6:$B$205,"&gt;="&amp;B166-'03 Mind Knobs'!$B$16+1,'00 Compact View'!$B$6:$B$205,"&lt;="&amp;B166),SUMIFS('00 Compact View'!$L$6:$L$205,'00 Compact View'!$A$6:$A$205,A166,'00 Compact View'!$B$6:$B$205,"&gt;="&amp;B166-'03 Mind Knobs'!$B$16+1,'00 Compact View'!$B$6:$B$205,"&lt;="&amp;B166))&gt;=MAX(1,ROUNDUP('03 Mind Knobs'!$B$16*(1-'03 Mind Knobs'!$B$8),0)))</x:f>
        <x:v>0</x:v>
      </x:c>
      <x:c r="M166" t="n">
        <x:f>--(OR(I166=1,J166=1,K166=1,L166=1))</x:f>
        <x:v>0</x:v>
      </x:c>
    </x:row>
    <x:row r="167">
      <x:c r="A167" t="n">
        <x:f>'00 Compact View'!A167</x:f>
        <x:v>9</x:v>
      </x:c>
      <x:c r="B167" t="n">
        <x:f>'00 Compact View'!B167</x:f>
        <x:v>2</x:v>
      </x:c>
      <x:c r="C167" s="12" t="n">
        <x:f>SUM('00 Compact View'!H167:L167)/5</x:f>
        <x:v>0.2</x:v>
      </x:c>
      <x:c r="D167" s="12" t="n">
        <x:f>SUM('00 Compact View'!M167:Q167)/5</x:f>
        <x:v>0.2</x:v>
      </x:c>
      <x:c r="E167" s="12" t="n">
        <x:f>'00 Compact View'!R167</x:f>
        <x:v>0</x:v>
      </x:c>
      <x:c r="F167" s="12" t="n">
        <x:f>'00 Compact View'!T167</x:f>
        <x:v>1</x:v>
      </x:c>
      <x:c r="G167" s="12" t="n">
        <x:f>'04 Resource Body'!$B$10</x:f>
        <x:v>0</x:v>
      </x:c>
      <x:c r="H167" t="n">
        <x:f>--(M167=0)</x:f>
        <x:v>0</x:v>
      </x:c>
      <x:c r="I167" t="n">
        <x:f>--(MIN(1,C167+D167+(E167*'03 Mind Knobs'!$B$17)+(F167*'03 Mind Knobs'!$B$18)+('03 Mind Knobs'!$B$7*F167))&gt;=MAX(0.15,0.35+(G167*'03 Mind Knobs'!$B$10)-('03 Mind Knobs'!$B$13*0.15)))</x:f>
        <x:v>1</x:v>
      </x:c>
      <x:c r="J167" t="n">
        <x:f>--(MIN(1,C167+D167+(E167*'03 Mind Knobs'!$B$17)+(F167*'03 Mind Knobs'!$B$18)+('03 Mind Knobs'!$B$7*F167))&gt;=MIN(0.95,'03 Mind Knobs'!$B$19+(G167*'03 Mind Knobs'!$B$10)-('03 Mind Knobs'!$B$13*0.10)))</x:f>
        <x:v>1</x:v>
      </x:c>
      <x:c r="K167" t="n">
        <x:f>--(AND(J167=1,OR(E167=1,F167=1)))</x:f>
        <x:v>1</x:v>
      </x:c>
      <x:c r="L167" t="n">
        <x:f>--(MAX(SUMIFS('00 Compact View'!$H$6:$H$205,'00 Compact View'!$A$6:$A$205,A167,'00 Compact View'!$B$6:$B$205,"&gt;="&amp;B167-'03 Mind Knobs'!$B$16+1,'00 Compact View'!$B$6:$B$205,"&lt;="&amp;B167),SUMIFS('00 Compact View'!$I$6:$I$205,'00 Compact View'!$A$6:$A$205,A167,'00 Compact View'!$B$6:$B$205,"&gt;="&amp;B167-'03 Mind Knobs'!$B$16+1,'00 Compact View'!$B$6:$B$205,"&lt;="&amp;B167),SUMIFS('00 Compact View'!$J$6:$J$205,'00 Compact View'!$A$6:$A$205,A167,'00 Compact View'!$B$6:$B$205,"&gt;="&amp;B167-'03 Mind Knobs'!$B$16+1,'00 Compact View'!$B$6:$B$205,"&lt;="&amp;B167),SUMIFS('00 Compact View'!$K$6:$K$205,'00 Compact View'!$A$6:$A$205,A167,'00 Compact View'!$B$6:$B$205,"&gt;="&amp;B167-'03 Mind Knobs'!$B$16+1,'00 Compact View'!$B$6:$B$205,"&lt;="&amp;B167),SUMIFS('00 Compact View'!$L$6:$L$205,'00 Compact View'!$A$6:$A$205,A167,'00 Compact View'!$B$6:$B$205,"&gt;="&amp;B167-'03 Mind Knobs'!$B$16+1,'00 Compact View'!$B$6:$B$205,"&lt;="&amp;B167))&gt;=MAX(1,ROUNDUP('03 Mind Knobs'!$B$16*(1-'03 Mind Knobs'!$B$8),0)))</x:f>
        <x:v>0</x:v>
      </x:c>
      <x:c r="M167" t="n">
        <x:f>--(OR(I167=1,J167=1,K167=1,L167=1))</x:f>
        <x:v>1</x:v>
      </x:c>
    </x:row>
    <x:row r="168">
      <x:c r="A168" t="n">
        <x:f>'00 Compact View'!A168</x:f>
        <x:v>9</x:v>
      </x:c>
      <x:c r="B168" t="n">
        <x:f>'00 Compact View'!B168</x:f>
        <x:v>3</x:v>
      </x:c>
      <x:c r="C168" s="12" t="n">
        <x:f>SUM('00 Compact View'!H168:L168)/5</x:f>
        <x:v>0</x:v>
      </x:c>
      <x:c r="D168" s="12" t="n">
        <x:f>SUM('00 Compact View'!M168:Q168)/5</x:f>
        <x:v>0.4</x:v>
      </x:c>
      <x:c r="E168" s="12" t="n">
        <x:f>'00 Compact View'!R168</x:f>
        <x:v>1</x:v>
      </x:c>
      <x:c r="F168" s="12" t="n">
        <x:f>'00 Compact View'!T168</x:f>
        <x:v>1</x:v>
      </x:c>
      <x:c r="G168" s="12" t="n">
        <x:f>'04 Resource Body'!$B$10</x:f>
        <x:v>0</x:v>
      </x:c>
      <x:c r="H168" t="n">
        <x:f>--(M168=0)</x:f>
        <x:v>0</x:v>
      </x:c>
      <x:c r="I168" t="n">
        <x:f>--(MIN(1,C168+D168+(E168*'03 Mind Knobs'!$B$17)+(F168*'03 Mind Knobs'!$B$18)+('03 Mind Knobs'!$B$7*F168))&gt;=MAX(0.15,0.35+(G168*'03 Mind Knobs'!$B$10)-('03 Mind Knobs'!$B$13*0.15)))</x:f>
        <x:v>1</x:v>
      </x:c>
      <x:c r="J168" t="n">
        <x:f>--(MIN(1,C168+D168+(E168*'03 Mind Knobs'!$B$17)+(F168*'03 Mind Knobs'!$B$18)+('03 Mind Knobs'!$B$7*F168))&gt;=MIN(0.95,'03 Mind Knobs'!$B$19+(G168*'03 Mind Knobs'!$B$10)-('03 Mind Knobs'!$B$13*0.10)))</x:f>
        <x:v>1</x:v>
      </x:c>
      <x:c r="K168" t="n">
        <x:f>--(AND(J168=1,OR(E168=1,F168=1)))</x:f>
        <x:v>1</x:v>
      </x:c>
      <x:c r="L168" t="n">
        <x:f>--(MAX(SUMIFS('00 Compact View'!$H$6:$H$205,'00 Compact View'!$A$6:$A$205,A168,'00 Compact View'!$B$6:$B$205,"&gt;="&amp;B168-'03 Mind Knobs'!$B$16+1,'00 Compact View'!$B$6:$B$205,"&lt;="&amp;B168),SUMIFS('00 Compact View'!$I$6:$I$205,'00 Compact View'!$A$6:$A$205,A168,'00 Compact View'!$B$6:$B$205,"&gt;="&amp;B168-'03 Mind Knobs'!$B$16+1,'00 Compact View'!$B$6:$B$205,"&lt;="&amp;B168),SUMIFS('00 Compact View'!$J$6:$J$205,'00 Compact View'!$A$6:$A$205,A168,'00 Compact View'!$B$6:$B$205,"&gt;="&amp;B168-'03 Mind Knobs'!$B$16+1,'00 Compact View'!$B$6:$B$205,"&lt;="&amp;B168),SUMIFS('00 Compact View'!$K$6:$K$205,'00 Compact View'!$A$6:$A$205,A168,'00 Compact View'!$B$6:$B$205,"&gt;="&amp;B168-'03 Mind Knobs'!$B$16+1,'00 Compact View'!$B$6:$B$205,"&lt;="&amp;B168),SUMIFS('00 Compact View'!$L$6:$L$205,'00 Compact View'!$A$6:$A$205,A168,'00 Compact View'!$B$6:$B$205,"&gt;="&amp;B168-'03 Mind Knobs'!$B$16+1,'00 Compact View'!$B$6:$B$205,"&lt;="&amp;B168))&gt;=MAX(1,ROUNDUP('03 Mind Knobs'!$B$16*(1-'03 Mind Knobs'!$B$8),0)))</x:f>
        <x:v>0</x:v>
      </x:c>
      <x:c r="M168" t="n">
        <x:f>--(OR(I168=1,J168=1,K168=1,L168=1))</x:f>
        <x:v>1</x:v>
      </x:c>
    </x:row>
    <x:row r="169">
      <x:c r="A169" t="n">
        <x:f>'00 Compact View'!A169</x:f>
        <x:v>9</x:v>
      </x:c>
      <x:c r="B169" t="n">
        <x:f>'00 Compact View'!B169</x:f>
        <x:v>4</x:v>
      </x:c>
      <x:c r="C169" s="12" t="n">
        <x:f>SUM('00 Compact View'!H169:L169)/5</x:f>
        <x:v>0.4</x:v>
      </x:c>
      <x:c r="D169" s="12" t="n">
        <x:f>SUM('00 Compact View'!M169:Q169)/5</x:f>
        <x:v>0.6</x:v>
      </x:c>
      <x:c r="E169" s="12" t="n">
        <x:f>'00 Compact View'!R169</x:f>
        <x:v>1</x:v>
      </x:c>
      <x:c r="F169" s="12" t="n">
        <x:f>'00 Compact View'!T169</x:f>
        <x:v>1</x:v>
      </x:c>
      <x:c r="G169" s="12" t="n">
        <x:f>'04 Resource Body'!$B$10</x:f>
        <x:v>0</x:v>
      </x:c>
      <x:c r="H169" t="n">
        <x:f>--(M169=0)</x:f>
        <x:v>0</x:v>
      </x:c>
      <x:c r="I169" t="n">
        <x:f>--(MIN(1,C169+D169+(E169*'03 Mind Knobs'!$B$17)+(F169*'03 Mind Knobs'!$B$18)+('03 Mind Knobs'!$B$7*F169))&gt;=MAX(0.15,0.35+(G169*'03 Mind Knobs'!$B$10)-('03 Mind Knobs'!$B$13*0.15)))</x:f>
        <x:v>1</x:v>
      </x:c>
      <x:c r="J169" t="n">
        <x:f>--(MIN(1,C169+D169+(E169*'03 Mind Knobs'!$B$17)+(F169*'03 Mind Knobs'!$B$18)+('03 Mind Knobs'!$B$7*F169))&gt;=MIN(0.95,'03 Mind Knobs'!$B$19+(G169*'03 Mind Knobs'!$B$10)-('03 Mind Knobs'!$B$13*0.10)))</x:f>
        <x:v>1</x:v>
      </x:c>
      <x:c r="K169" t="n">
        <x:f>--(AND(J169=1,OR(E169=1,F169=1)))</x:f>
        <x:v>1</x:v>
      </x:c>
      <x:c r="L169" t="n">
        <x:f>--(MAX(SUMIFS('00 Compact View'!$H$6:$H$205,'00 Compact View'!$A$6:$A$205,A169,'00 Compact View'!$B$6:$B$205,"&gt;="&amp;B169-'03 Mind Knobs'!$B$16+1,'00 Compact View'!$B$6:$B$205,"&lt;="&amp;B169),SUMIFS('00 Compact View'!$I$6:$I$205,'00 Compact View'!$A$6:$A$205,A169,'00 Compact View'!$B$6:$B$205,"&gt;="&amp;B169-'03 Mind Knobs'!$B$16+1,'00 Compact View'!$B$6:$B$205,"&lt;="&amp;B169),SUMIFS('00 Compact View'!$J$6:$J$205,'00 Compact View'!$A$6:$A$205,A169,'00 Compact View'!$B$6:$B$205,"&gt;="&amp;B169-'03 Mind Knobs'!$B$16+1,'00 Compact View'!$B$6:$B$205,"&lt;="&amp;B169),SUMIFS('00 Compact View'!$K$6:$K$205,'00 Compact View'!$A$6:$A$205,A169,'00 Compact View'!$B$6:$B$205,"&gt;="&amp;B169-'03 Mind Knobs'!$B$16+1,'00 Compact View'!$B$6:$B$205,"&lt;="&amp;B169),SUMIFS('00 Compact View'!$L$6:$L$205,'00 Compact View'!$A$6:$A$205,A169,'00 Compact View'!$B$6:$B$205,"&gt;="&amp;B169-'03 Mind Knobs'!$B$16+1,'00 Compact View'!$B$6:$B$205,"&lt;="&amp;B169))&gt;=MAX(1,ROUNDUP('03 Mind Knobs'!$B$16*(1-'03 Mind Knobs'!$B$8),0)))</x:f>
        <x:v>0</x:v>
      </x:c>
      <x:c r="M169" t="n">
        <x:f>--(OR(I169=1,J169=1,K169=1,L169=1))</x:f>
        <x:v>1</x:v>
      </x:c>
    </x:row>
    <x:row r="170">
      <x:c r="A170" t="n">
        <x:f>'00 Compact View'!A170</x:f>
        <x:v>9</x:v>
      </x:c>
      <x:c r="B170" t="n">
        <x:f>'00 Compact View'!B170</x:f>
        <x:v>5</x:v>
      </x:c>
      <x:c r="C170" s="12" t="n">
        <x:f>SUM('00 Compact View'!H170:L170)/5</x:f>
        <x:v>0</x:v>
      </x:c>
      <x:c r="D170" s="12" t="n">
        <x:f>SUM('00 Compact View'!M170:Q170)/5</x:f>
        <x:v>0.6</x:v>
      </x:c>
      <x:c r="E170" s="12" t="n">
        <x:f>'00 Compact View'!R170</x:f>
        <x:v>1</x:v>
      </x:c>
      <x:c r="F170" s="12" t="n">
        <x:f>'00 Compact View'!T170</x:f>
        <x:v>0</x:v>
      </x:c>
      <x:c r="G170" s="12" t="n">
        <x:f>'04 Resource Body'!$B$10</x:f>
        <x:v>0</x:v>
      </x:c>
      <x:c r="H170" t="n">
        <x:f>--(M170=0)</x:f>
        <x:v>0</x:v>
      </x:c>
      <x:c r="I170" t="n">
        <x:f>--(MIN(1,C170+D170+(E170*'03 Mind Knobs'!$B$17)+(F170*'03 Mind Knobs'!$B$18)+('03 Mind Knobs'!$B$7*F170))&gt;=MAX(0.15,0.35+(G170*'03 Mind Knobs'!$B$10)-('03 Mind Knobs'!$B$13*0.15)))</x:f>
        <x:v>1</x:v>
      </x:c>
      <x:c r="J170" t="n">
        <x:f>--(MIN(1,C170+D170+(E170*'03 Mind Knobs'!$B$17)+(F170*'03 Mind Knobs'!$B$18)+('03 Mind Knobs'!$B$7*F170))&gt;=MIN(0.95,'03 Mind Knobs'!$B$19+(G170*'03 Mind Knobs'!$B$10)-('03 Mind Knobs'!$B$13*0.10)))</x:f>
        <x:v>1</x:v>
      </x:c>
      <x:c r="K170" t="n">
        <x:f>--(AND(J170=1,OR(E170=1,F170=1)))</x:f>
        <x:v>1</x:v>
      </x:c>
      <x:c r="L170" t="n">
        <x:f>--(MAX(SUMIFS('00 Compact View'!$H$6:$H$205,'00 Compact View'!$A$6:$A$205,A170,'00 Compact View'!$B$6:$B$205,"&gt;="&amp;B170-'03 Mind Knobs'!$B$16+1,'00 Compact View'!$B$6:$B$205,"&lt;="&amp;B170),SUMIFS('00 Compact View'!$I$6:$I$205,'00 Compact View'!$A$6:$A$205,A170,'00 Compact View'!$B$6:$B$205,"&gt;="&amp;B170-'03 Mind Knobs'!$B$16+1,'00 Compact View'!$B$6:$B$205,"&lt;="&amp;B170),SUMIFS('00 Compact View'!$J$6:$J$205,'00 Compact View'!$A$6:$A$205,A170,'00 Compact View'!$B$6:$B$205,"&gt;="&amp;B170-'03 Mind Knobs'!$B$16+1,'00 Compact View'!$B$6:$B$205,"&lt;="&amp;B170),SUMIFS('00 Compact View'!$K$6:$K$205,'00 Compact View'!$A$6:$A$205,A170,'00 Compact View'!$B$6:$B$205,"&gt;="&amp;B170-'03 Mind Knobs'!$B$16+1,'00 Compact View'!$B$6:$B$205,"&lt;="&amp;B170),SUMIFS('00 Compact View'!$L$6:$L$205,'00 Compact View'!$A$6:$A$205,A170,'00 Compact View'!$B$6:$B$205,"&gt;="&amp;B170-'03 Mind Knobs'!$B$16+1,'00 Compact View'!$B$6:$B$205,"&lt;="&amp;B170))&gt;=MAX(1,ROUNDUP('03 Mind Knobs'!$B$16*(1-'03 Mind Knobs'!$B$8),0)))</x:f>
        <x:v>0</x:v>
      </x:c>
      <x:c r="M170" t="n">
        <x:f>--(OR(I170=1,J170=1,K170=1,L170=1))</x:f>
        <x:v>1</x:v>
      </x:c>
    </x:row>
    <x:row r="171">
      <x:c r="A171" t="n">
        <x:f>'00 Compact View'!A171</x:f>
        <x:v>9</x:v>
      </x:c>
      <x:c r="B171" t="n">
        <x:f>'00 Compact View'!B171</x:f>
        <x:v>6</x:v>
      </x:c>
      <x:c r="C171" s="12" t="n">
        <x:f>SUM('00 Compact View'!H171:L171)/5</x:f>
        <x:v>0.4</x:v>
      </x:c>
      <x:c r="D171" s="12" t="n">
        <x:f>SUM('00 Compact View'!M171:Q171)/5</x:f>
        <x:v>0.6</x:v>
      </x:c>
      <x:c r="E171" s="12" t="n">
        <x:f>'00 Compact View'!R171</x:f>
        <x:v>1</x:v>
      </x:c>
      <x:c r="F171" s="12" t="n">
        <x:f>'00 Compact View'!T171</x:f>
        <x:v>0</x:v>
      </x:c>
      <x:c r="G171" s="12" t="n">
        <x:f>'04 Resource Body'!$B$10</x:f>
        <x:v>0</x:v>
      </x:c>
      <x:c r="H171" t="n">
        <x:f>--(M171=0)</x:f>
        <x:v>0</x:v>
      </x:c>
      <x:c r="I171" t="n">
        <x:f>--(MIN(1,C171+D171+(E171*'03 Mind Knobs'!$B$17)+(F171*'03 Mind Knobs'!$B$18)+('03 Mind Knobs'!$B$7*F171))&gt;=MAX(0.15,0.35+(G171*'03 Mind Knobs'!$B$10)-('03 Mind Knobs'!$B$13*0.15)))</x:f>
        <x:v>1</x:v>
      </x:c>
      <x:c r="J171" t="n">
        <x:f>--(MIN(1,C171+D171+(E171*'03 Mind Knobs'!$B$17)+(F171*'03 Mind Knobs'!$B$18)+('03 Mind Knobs'!$B$7*F171))&gt;=MIN(0.95,'03 Mind Knobs'!$B$19+(G171*'03 Mind Knobs'!$B$10)-('03 Mind Knobs'!$B$13*0.10)))</x:f>
        <x:v>1</x:v>
      </x:c>
      <x:c r="K171" t="n">
        <x:f>--(AND(J171=1,OR(E171=1,F171=1)))</x:f>
        <x:v>1</x:v>
      </x:c>
      <x:c r="L171" t="n">
        <x:f>--(MAX(SUMIFS('00 Compact View'!$H$6:$H$205,'00 Compact View'!$A$6:$A$205,A171,'00 Compact View'!$B$6:$B$205,"&gt;="&amp;B171-'03 Mind Knobs'!$B$16+1,'00 Compact View'!$B$6:$B$205,"&lt;="&amp;B171),SUMIFS('00 Compact View'!$I$6:$I$205,'00 Compact View'!$A$6:$A$205,A171,'00 Compact View'!$B$6:$B$205,"&gt;="&amp;B171-'03 Mind Knobs'!$B$16+1,'00 Compact View'!$B$6:$B$205,"&lt;="&amp;B171),SUMIFS('00 Compact View'!$J$6:$J$205,'00 Compact View'!$A$6:$A$205,A171,'00 Compact View'!$B$6:$B$205,"&gt;="&amp;B171-'03 Mind Knobs'!$B$16+1,'00 Compact View'!$B$6:$B$205,"&lt;="&amp;B171),SUMIFS('00 Compact View'!$K$6:$K$205,'00 Compact View'!$A$6:$A$205,A171,'00 Compact View'!$B$6:$B$205,"&gt;="&amp;B171-'03 Mind Knobs'!$B$16+1,'00 Compact View'!$B$6:$B$205,"&lt;="&amp;B171),SUMIFS('00 Compact View'!$L$6:$L$205,'00 Compact View'!$A$6:$A$205,A171,'00 Compact View'!$B$6:$B$205,"&gt;="&amp;B171-'03 Mind Knobs'!$B$16+1,'00 Compact View'!$B$6:$B$205,"&lt;="&amp;B171))&gt;=MAX(1,ROUNDUP('03 Mind Knobs'!$B$16*(1-'03 Mind Knobs'!$B$8),0)))</x:f>
        <x:v>0</x:v>
      </x:c>
      <x:c r="M171" t="n">
        <x:f>--(OR(I171=1,J171=1,K171=1,L171=1))</x:f>
        <x:v>1</x:v>
      </x:c>
    </x:row>
    <x:row r="172">
      <x:c r="A172" t="n">
        <x:f>'00 Compact View'!A172</x:f>
        <x:v>9</x:v>
      </x:c>
      <x:c r="B172" t="n">
        <x:f>'00 Compact View'!B172</x:f>
        <x:v>7</x:v>
      </x:c>
      <x:c r="C172" s="12" t="n">
        <x:f>SUM('00 Compact View'!H172:L172)/5</x:f>
        <x:v>0</x:v>
      </x:c>
      <x:c r="D172" s="12" t="n">
        <x:f>SUM('00 Compact View'!M172:Q172)/5</x:f>
        <x:v>0.6</x:v>
      </x:c>
      <x:c r="E172" s="12" t="n">
        <x:f>'00 Compact View'!R172</x:f>
        <x:v>1</x:v>
      </x:c>
      <x:c r="F172" s="12" t="n">
        <x:f>'00 Compact View'!T172</x:f>
        <x:v>0</x:v>
      </x:c>
      <x:c r="G172" s="12" t="n">
        <x:f>'04 Resource Body'!$B$10</x:f>
        <x:v>0</x:v>
      </x:c>
      <x:c r="H172" t="n">
        <x:f>--(M172=0)</x:f>
        <x:v>0</x:v>
      </x:c>
      <x:c r="I172" t="n">
        <x:f>--(MIN(1,C172+D172+(E172*'03 Mind Knobs'!$B$17)+(F172*'03 Mind Knobs'!$B$18)+('03 Mind Knobs'!$B$7*F172))&gt;=MAX(0.15,0.35+(G172*'03 Mind Knobs'!$B$10)-('03 Mind Knobs'!$B$13*0.15)))</x:f>
        <x:v>1</x:v>
      </x:c>
      <x:c r="J172" t="n">
        <x:f>--(MIN(1,C172+D172+(E172*'03 Mind Knobs'!$B$17)+(F172*'03 Mind Knobs'!$B$18)+('03 Mind Knobs'!$B$7*F172))&gt;=MIN(0.95,'03 Mind Knobs'!$B$19+(G172*'03 Mind Knobs'!$B$10)-('03 Mind Knobs'!$B$13*0.10)))</x:f>
        <x:v>1</x:v>
      </x:c>
      <x:c r="K172" t="n">
        <x:f>--(AND(J172=1,OR(E172=1,F172=1)))</x:f>
        <x:v>1</x:v>
      </x:c>
      <x:c r="L172" t="n">
        <x:f>--(MAX(SUMIFS('00 Compact View'!$H$6:$H$205,'00 Compact View'!$A$6:$A$205,A172,'00 Compact View'!$B$6:$B$205,"&gt;="&amp;B172-'03 Mind Knobs'!$B$16+1,'00 Compact View'!$B$6:$B$205,"&lt;="&amp;B172),SUMIFS('00 Compact View'!$I$6:$I$205,'00 Compact View'!$A$6:$A$205,A172,'00 Compact View'!$B$6:$B$205,"&gt;="&amp;B172-'03 Mind Knobs'!$B$16+1,'00 Compact View'!$B$6:$B$205,"&lt;="&amp;B172),SUMIFS('00 Compact View'!$J$6:$J$205,'00 Compact View'!$A$6:$A$205,A172,'00 Compact View'!$B$6:$B$205,"&gt;="&amp;B172-'03 Mind Knobs'!$B$16+1,'00 Compact View'!$B$6:$B$205,"&lt;="&amp;B172),SUMIFS('00 Compact View'!$K$6:$K$205,'00 Compact View'!$A$6:$A$205,A172,'00 Compact View'!$B$6:$B$205,"&gt;="&amp;B172-'03 Mind Knobs'!$B$16+1,'00 Compact View'!$B$6:$B$205,"&lt;="&amp;B172),SUMIFS('00 Compact View'!$L$6:$L$205,'00 Compact View'!$A$6:$A$205,A172,'00 Compact View'!$B$6:$B$205,"&gt;="&amp;B172-'03 Mind Knobs'!$B$16+1,'00 Compact View'!$B$6:$B$205,"&lt;="&amp;B172))&gt;=MAX(1,ROUNDUP('03 Mind Knobs'!$B$16*(1-'03 Mind Knobs'!$B$8),0)))</x:f>
        <x:v>0</x:v>
      </x:c>
      <x:c r="M172" t="n">
        <x:f>--(OR(I172=1,J172=1,K172=1,L172=1))</x:f>
        <x:v>1</x:v>
      </x:c>
    </x:row>
    <x:row r="173">
      <x:c r="A173" t="n">
        <x:f>'00 Compact View'!A173</x:f>
        <x:v>9</x:v>
      </x:c>
      <x:c r="B173" t="n">
        <x:f>'00 Compact View'!B173</x:f>
        <x:v>8</x:v>
      </x:c>
      <x:c r="C173" s="12" t="n">
        <x:f>SUM('00 Compact View'!H173:L173)/5</x:f>
        <x:v>0.4</x:v>
      </x:c>
      <x:c r="D173" s="12" t="n">
        <x:f>SUM('00 Compact View'!M173:Q173)/5</x:f>
        <x:v>0.4</x:v>
      </x:c>
      <x:c r="E173" s="12" t="n">
        <x:f>'00 Compact View'!R173</x:f>
        <x:v>1</x:v>
      </x:c>
      <x:c r="F173" s="12" t="n">
        <x:f>'00 Compact View'!T173</x:f>
        <x:v>1</x:v>
      </x:c>
      <x:c r="G173" s="12" t="n">
        <x:f>'04 Resource Body'!$B$10</x:f>
        <x:v>0</x:v>
      </x:c>
      <x:c r="H173" t="n">
        <x:f>--(M173=0)</x:f>
        <x:v>0</x:v>
      </x:c>
      <x:c r="I173" t="n">
        <x:f>--(MIN(1,C173+D173+(E173*'03 Mind Knobs'!$B$17)+(F173*'03 Mind Knobs'!$B$18)+('03 Mind Knobs'!$B$7*F173))&gt;=MAX(0.15,0.35+(G173*'03 Mind Knobs'!$B$10)-('03 Mind Knobs'!$B$13*0.15)))</x:f>
        <x:v>1</x:v>
      </x:c>
      <x:c r="J173" t="n">
        <x:f>--(MIN(1,C173+D173+(E173*'03 Mind Knobs'!$B$17)+(F173*'03 Mind Knobs'!$B$18)+('03 Mind Knobs'!$B$7*F173))&gt;=MIN(0.95,'03 Mind Knobs'!$B$19+(G173*'03 Mind Knobs'!$B$10)-('03 Mind Knobs'!$B$13*0.10)))</x:f>
        <x:v>1</x:v>
      </x:c>
      <x:c r="K173" t="n">
        <x:f>--(AND(J173=1,OR(E173=1,F173=1)))</x:f>
        <x:v>1</x:v>
      </x:c>
      <x:c r="L173" t="n">
        <x:f>--(MAX(SUMIFS('00 Compact View'!$H$6:$H$205,'00 Compact View'!$A$6:$A$205,A173,'00 Compact View'!$B$6:$B$205,"&gt;="&amp;B173-'03 Mind Knobs'!$B$16+1,'00 Compact View'!$B$6:$B$205,"&lt;="&amp;B173),SUMIFS('00 Compact View'!$I$6:$I$205,'00 Compact View'!$A$6:$A$205,A173,'00 Compact View'!$B$6:$B$205,"&gt;="&amp;B173-'03 Mind Knobs'!$B$16+1,'00 Compact View'!$B$6:$B$205,"&lt;="&amp;B173),SUMIFS('00 Compact View'!$J$6:$J$205,'00 Compact View'!$A$6:$A$205,A173,'00 Compact View'!$B$6:$B$205,"&gt;="&amp;B173-'03 Mind Knobs'!$B$16+1,'00 Compact View'!$B$6:$B$205,"&lt;="&amp;B173),SUMIFS('00 Compact View'!$K$6:$K$205,'00 Compact View'!$A$6:$A$205,A173,'00 Compact View'!$B$6:$B$205,"&gt;="&amp;B173-'03 Mind Knobs'!$B$16+1,'00 Compact View'!$B$6:$B$205,"&lt;="&amp;B173),SUMIFS('00 Compact View'!$L$6:$L$205,'00 Compact View'!$A$6:$A$205,A173,'00 Compact View'!$B$6:$B$205,"&gt;="&amp;B173-'03 Mind Knobs'!$B$16+1,'00 Compact View'!$B$6:$B$205,"&lt;="&amp;B173))&gt;=MAX(1,ROUNDUP('03 Mind Knobs'!$B$16*(1-'03 Mind Knobs'!$B$8),0)))</x:f>
        <x:v>0</x:v>
      </x:c>
      <x:c r="M173" t="n">
        <x:f>--(OR(I173=1,J173=1,K173=1,L173=1))</x:f>
        <x:v>1</x:v>
      </x:c>
    </x:row>
    <x:row r="174">
      <x:c r="A174" t="n">
        <x:f>'00 Compact View'!A174</x:f>
        <x:v>9</x:v>
      </x:c>
      <x:c r="B174" t="n">
        <x:f>'00 Compact View'!B174</x:f>
        <x:v>9</x:v>
      </x:c>
      <x:c r="C174" s="12" t="n">
        <x:f>SUM('00 Compact View'!H174:L174)/5</x:f>
        <x:v>0</x:v>
      </x:c>
      <x:c r="D174" s="12" t="n">
        <x:f>SUM('00 Compact View'!M174:Q174)/5</x:f>
        <x:v>0.6</x:v>
      </x:c>
      <x:c r="E174" s="12" t="n">
        <x:f>'00 Compact View'!R174</x:f>
        <x:v>1</x:v>
      </x:c>
      <x:c r="F174" s="12" t="n">
        <x:f>'00 Compact View'!T174</x:f>
        <x:v>1</x:v>
      </x:c>
      <x:c r="G174" s="12" t="n">
        <x:f>'04 Resource Body'!$B$10</x:f>
        <x:v>0</x:v>
      </x:c>
      <x:c r="H174" t="n">
        <x:f>--(M174=0)</x:f>
        <x:v>0</x:v>
      </x:c>
      <x:c r="I174" t="n">
        <x:f>--(MIN(1,C174+D174+(E174*'03 Mind Knobs'!$B$17)+(F174*'03 Mind Knobs'!$B$18)+('03 Mind Knobs'!$B$7*F174))&gt;=MAX(0.15,0.35+(G174*'03 Mind Knobs'!$B$10)-('03 Mind Knobs'!$B$13*0.15)))</x:f>
        <x:v>1</x:v>
      </x:c>
      <x:c r="J174" t="n">
        <x:f>--(MIN(1,C174+D174+(E174*'03 Mind Knobs'!$B$17)+(F174*'03 Mind Knobs'!$B$18)+('03 Mind Knobs'!$B$7*F174))&gt;=MIN(0.95,'03 Mind Knobs'!$B$19+(G174*'03 Mind Knobs'!$B$10)-('03 Mind Knobs'!$B$13*0.10)))</x:f>
        <x:v>1</x:v>
      </x:c>
      <x:c r="K174" t="n">
        <x:f>--(AND(J174=1,OR(E174=1,F174=1)))</x:f>
        <x:v>1</x:v>
      </x:c>
      <x:c r="L174" t="n">
        <x:f>--(MAX(SUMIFS('00 Compact View'!$H$6:$H$205,'00 Compact View'!$A$6:$A$205,A174,'00 Compact View'!$B$6:$B$205,"&gt;="&amp;B174-'03 Mind Knobs'!$B$16+1,'00 Compact View'!$B$6:$B$205,"&lt;="&amp;B174),SUMIFS('00 Compact View'!$I$6:$I$205,'00 Compact View'!$A$6:$A$205,A174,'00 Compact View'!$B$6:$B$205,"&gt;="&amp;B174-'03 Mind Knobs'!$B$16+1,'00 Compact View'!$B$6:$B$205,"&lt;="&amp;B174),SUMIFS('00 Compact View'!$J$6:$J$205,'00 Compact View'!$A$6:$A$205,A174,'00 Compact View'!$B$6:$B$205,"&gt;="&amp;B174-'03 Mind Knobs'!$B$16+1,'00 Compact View'!$B$6:$B$205,"&lt;="&amp;B174),SUMIFS('00 Compact View'!$K$6:$K$205,'00 Compact View'!$A$6:$A$205,A174,'00 Compact View'!$B$6:$B$205,"&gt;="&amp;B174-'03 Mind Knobs'!$B$16+1,'00 Compact View'!$B$6:$B$205,"&lt;="&amp;B174),SUMIFS('00 Compact View'!$L$6:$L$205,'00 Compact View'!$A$6:$A$205,A174,'00 Compact View'!$B$6:$B$205,"&gt;="&amp;B174-'03 Mind Knobs'!$B$16+1,'00 Compact View'!$B$6:$B$205,"&lt;="&amp;B174))&gt;=MAX(1,ROUNDUP('03 Mind Knobs'!$B$16*(1-'03 Mind Knobs'!$B$8),0)))</x:f>
        <x:v>0</x:v>
      </x:c>
      <x:c r="M174" t="n">
        <x:f>--(OR(I174=1,J174=1,K174=1,L174=1))</x:f>
        <x:v>1</x:v>
      </x:c>
    </x:row>
    <x:row r="175">
      <x:c r="A175" t="n">
        <x:f>'00 Compact View'!A175</x:f>
        <x:v>9</x:v>
      </x:c>
      <x:c r="B175" t="n">
        <x:f>'00 Compact View'!B175</x:f>
        <x:v>10</x:v>
      </x:c>
      <x:c r="C175" s="12" t="n">
        <x:f>SUM('00 Compact View'!H175:L175)/5</x:f>
        <x:v>0.2</x:v>
      </x:c>
      <x:c r="D175" s="12" t="n">
        <x:f>SUM('00 Compact View'!M175:Q175)/5</x:f>
        <x:v>0.6</x:v>
      </x:c>
      <x:c r="E175" s="12" t="n">
        <x:f>'00 Compact View'!R175</x:f>
        <x:v>1</x:v>
      </x:c>
      <x:c r="F175" s="12" t="n">
        <x:f>'00 Compact View'!T175</x:f>
        <x:v>0</x:v>
      </x:c>
      <x:c r="G175" s="12" t="n">
        <x:f>'04 Resource Body'!$B$10</x:f>
        <x:v>0</x:v>
      </x:c>
      <x:c r="H175" t="n">
        <x:f>--(M175=0)</x:f>
        <x:v>0</x:v>
      </x:c>
      <x:c r="I175" t="n">
        <x:f>--(MIN(1,C175+D175+(E175*'03 Mind Knobs'!$B$17)+(F175*'03 Mind Knobs'!$B$18)+('03 Mind Knobs'!$B$7*F175))&gt;=MAX(0.15,0.35+(G175*'03 Mind Knobs'!$B$10)-('03 Mind Knobs'!$B$13*0.15)))</x:f>
        <x:v>1</x:v>
      </x:c>
      <x:c r="J175" t="n">
        <x:f>--(MIN(1,C175+D175+(E175*'03 Mind Knobs'!$B$17)+(F175*'03 Mind Knobs'!$B$18)+('03 Mind Knobs'!$B$7*F175))&gt;=MIN(0.95,'03 Mind Knobs'!$B$19+(G175*'03 Mind Knobs'!$B$10)-('03 Mind Knobs'!$B$13*0.10)))</x:f>
        <x:v>1</x:v>
      </x:c>
      <x:c r="K175" t="n">
        <x:f>--(AND(J175=1,OR(E175=1,F175=1)))</x:f>
        <x:v>1</x:v>
      </x:c>
      <x:c r="L175" t="n">
        <x:f>--(MAX(SUMIFS('00 Compact View'!$H$6:$H$205,'00 Compact View'!$A$6:$A$205,A175,'00 Compact View'!$B$6:$B$205,"&gt;="&amp;B175-'03 Mind Knobs'!$B$16+1,'00 Compact View'!$B$6:$B$205,"&lt;="&amp;B175),SUMIFS('00 Compact View'!$I$6:$I$205,'00 Compact View'!$A$6:$A$205,A175,'00 Compact View'!$B$6:$B$205,"&gt;="&amp;B175-'03 Mind Knobs'!$B$16+1,'00 Compact View'!$B$6:$B$205,"&lt;="&amp;B175),SUMIFS('00 Compact View'!$J$6:$J$205,'00 Compact View'!$A$6:$A$205,A175,'00 Compact View'!$B$6:$B$205,"&gt;="&amp;B175-'03 Mind Knobs'!$B$16+1,'00 Compact View'!$B$6:$B$205,"&lt;="&amp;B175),SUMIFS('00 Compact View'!$K$6:$K$205,'00 Compact View'!$A$6:$A$205,A175,'00 Compact View'!$B$6:$B$205,"&gt;="&amp;B175-'03 Mind Knobs'!$B$16+1,'00 Compact View'!$B$6:$B$205,"&lt;="&amp;B175),SUMIFS('00 Compact View'!$L$6:$L$205,'00 Compact View'!$A$6:$A$205,A175,'00 Compact View'!$B$6:$B$205,"&gt;="&amp;B175-'03 Mind Knobs'!$B$16+1,'00 Compact View'!$B$6:$B$205,"&lt;="&amp;B175))&gt;=MAX(1,ROUNDUP('03 Mind Knobs'!$B$16*(1-'03 Mind Knobs'!$B$8),0)))</x:f>
        <x:v>1</x:v>
      </x:c>
      <x:c r="M175" t="n">
        <x:f>--(OR(I175=1,J175=1,K175=1,L175=1))</x:f>
        <x:v>1</x:v>
      </x:c>
    </x:row>
    <x:row r="176">
      <x:c r="A176" t="n">
        <x:f>'00 Compact View'!A176</x:f>
        <x:v>9</x:v>
      </x:c>
      <x:c r="B176" t="n">
        <x:f>'00 Compact View'!B176</x:f>
        <x:v>11</x:v>
      </x:c>
      <x:c r="C176" s="12" t="n">
        <x:f>SUM('00 Compact View'!H176:L176)/5</x:f>
        <x:v>0</x:v>
      </x:c>
      <x:c r="D176" s="12" t="n">
        <x:f>SUM('00 Compact View'!M176:Q176)/5</x:f>
        <x:v>0.4</x:v>
      </x:c>
      <x:c r="E176" s="12" t="n">
        <x:f>'00 Compact View'!R176</x:f>
        <x:v>1</x:v>
      </x:c>
      <x:c r="F176" s="12" t="n">
        <x:f>'00 Compact View'!T176</x:f>
        <x:v>1</x:v>
      </x:c>
      <x:c r="G176" s="12" t="n">
        <x:f>'04 Resource Body'!$B$10</x:f>
        <x:v>0</x:v>
      </x:c>
      <x:c r="H176" t="n">
        <x:f>--(M176=0)</x:f>
        <x:v>0</x:v>
      </x:c>
      <x:c r="I176" t="n">
        <x:f>--(MIN(1,C176+D176+(E176*'03 Mind Knobs'!$B$17)+(F176*'03 Mind Knobs'!$B$18)+('03 Mind Knobs'!$B$7*F176))&gt;=MAX(0.15,0.35+(G176*'03 Mind Knobs'!$B$10)-('03 Mind Knobs'!$B$13*0.15)))</x:f>
        <x:v>1</x:v>
      </x:c>
      <x:c r="J176" t="n">
        <x:f>--(MIN(1,C176+D176+(E176*'03 Mind Knobs'!$B$17)+(F176*'03 Mind Knobs'!$B$18)+('03 Mind Knobs'!$B$7*F176))&gt;=MIN(0.95,'03 Mind Knobs'!$B$19+(G176*'03 Mind Knobs'!$B$10)-('03 Mind Knobs'!$B$13*0.10)))</x:f>
        <x:v>1</x:v>
      </x:c>
      <x:c r="K176" t="n">
        <x:f>--(AND(J176=1,OR(E176=1,F176=1)))</x:f>
        <x:v>1</x:v>
      </x:c>
      <x:c r="L176" t="n">
        <x:f>--(MAX(SUMIFS('00 Compact View'!$H$6:$H$205,'00 Compact View'!$A$6:$A$205,A176,'00 Compact View'!$B$6:$B$205,"&gt;="&amp;B176-'03 Mind Knobs'!$B$16+1,'00 Compact View'!$B$6:$B$205,"&lt;="&amp;B176),SUMIFS('00 Compact View'!$I$6:$I$205,'00 Compact View'!$A$6:$A$205,A176,'00 Compact View'!$B$6:$B$205,"&gt;="&amp;B176-'03 Mind Knobs'!$B$16+1,'00 Compact View'!$B$6:$B$205,"&lt;="&amp;B176),SUMIFS('00 Compact View'!$J$6:$J$205,'00 Compact View'!$A$6:$A$205,A176,'00 Compact View'!$B$6:$B$205,"&gt;="&amp;B176-'03 Mind Knobs'!$B$16+1,'00 Compact View'!$B$6:$B$205,"&lt;="&amp;B176),SUMIFS('00 Compact View'!$K$6:$K$205,'00 Compact View'!$A$6:$A$205,A176,'00 Compact View'!$B$6:$B$205,"&gt;="&amp;B176-'03 Mind Knobs'!$B$16+1,'00 Compact View'!$B$6:$B$205,"&lt;="&amp;B176),SUMIFS('00 Compact View'!$L$6:$L$205,'00 Compact View'!$A$6:$A$205,A176,'00 Compact View'!$B$6:$B$205,"&gt;="&amp;B176-'03 Mind Knobs'!$B$16+1,'00 Compact View'!$B$6:$B$205,"&lt;="&amp;B176))&gt;=MAX(1,ROUNDUP('03 Mind Knobs'!$B$16*(1-'03 Mind Knobs'!$B$8),0)))</x:f>
        <x:v>1</x:v>
      </x:c>
      <x:c r="M176" t="n">
        <x:f>--(OR(I176=1,J176=1,K176=1,L176=1))</x:f>
        <x:v>1</x:v>
      </x:c>
    </x:row>
    <x:row r="177">
      <x:c r="A177" t="n">
        <x:f>'00 Compact View'!A177</x:f>
        <x:v>9</x:v>
      </x:c>
      <x:c r="B177" t="n">
        <x:f>'00 Compact View'!B177</x:f>
        <x:v>12</x:v>
      </x:c>
      <x:c r="C177" s="12" t="n">
        <x:f>SUM('00 Compact View'!H177:L177)/5</x:f>
        <x:v>0.6</x:v>
      </x:c>
      <x:c r="D177" s="12" t="n">
        <x:f>SUM('00 Compact View'!M177:Q177)/5</x:f>
        <x:v>0.6</x:v>
      </x:c>
      <x:c r="E177" s="12" t="n">
        <x:f>'00 Compact View'!R177</x:f>
        <x:v>1</x:v>
      </x:c>
      <x:c r="F177" s="12" t="n">
        <x:f>'00 Compact View'!T177</x:f>
        <x:v>1</x:v>
      </x:c>
      <x:c r="G177" s="12" t="n">
        <x:f>'04 Resource Body'!$B$10</x:f>
        <x:v>0</x:v>
      </x:c>
      <x:c r="H177" t="n">
        <x:f>--(M177=0)</x:f>
        <x:v>0</x:v>
      </x:c>
      <x:c r="I177" t="n">
        <x:f>--(MIN(1,C177+D177+(E177*'03 Mind Knobs'!$B$17)+(F177*'03 Mind Knobs'!$B$18)+('03 Mind Knobs'!$B$7*F177))&gt;=MAX(0.15,0.35+(G177*'03 Mind Knobs'!$B$10)-('03 Mind Knobs'!$B$13*0.15)))</x:f>
        <x:v>1</x:v>
      </x:c>
      <x:c r="J177" t="n">
        <x:f>--(MIN(1,C177+D177+(E177*'03 Mind Knobs'!$B$17)+(F177*'03 Mind Knobs'!$B$18)+('03 Mind Knobs'!$B$7*F177))&gt;=MIN(0.95,'03 Mind Knobs'!$B$19+(G177*'03 Mind Knobs'!$B$10)-('03 Mind Knobs'!$B$13*0.10)))</x:f>
        <x:v>1</x:v>
      </x:c>
      <x:c r="K177" t="n">
        <x:f>--(AND(J177=1,OR(E177=1,F177=1)))</x:f>
        <x:v>1</x:v>
      </x:c>
      <x:c r="L177" t="n">
        <x:f>--(MAX(SUMIFS('00 Compact View'!$H$6:$H$205,'00 Compact View'!$A$6:$A$205,A177,'00 Compact View'!$B$6:$B$205,"&gt;="&amp;B177-'03 Mind Knobs'!$B$16+1,'00 Compact View'!$B$6:$B$205,"&lt;="&amp;B177),SUMIFS('00 Compact View'!$I$6:$I$205,'00 Compact View'!$A$6:$A$205,A177,'00 Compact View'!$B$6:$B$205,"&gt;="&amp;B177-'03 Mind Knobs'!$B$16+1,'00 Compact View'!$B$6:$B$205,"&lt;="&amp;B177),SUMIFS('00 Compact View'!$J$6:$J$205,'00 Compact View'!$A$6:$A$205,A177,'00 Compact View'!$B$6:$B$205,"&gt;="&amp;B177-'03 Mind Knobs'!$B$16+1,'00 Compact View'!$B$6:$B$205,"&lt;="&amp;B177),SUMIFS('00 Compact View'!$K$6:$K$205,'00 Compact View'!$A$6:$A$205,A177,'00 Compact View'!$B$6:$B$205,"&gt;="&amp;B177-'03 Mind Knobs'!$B$16+1,'00 Compact View'!$B$6:$B$205,"&lt;="&amp;B177),SUMIFS('00 Compact View'!$L$6:$L$205,'00 Compact View'!$A$6:$A$205,A177,'00 Compact View'!$B$6:$B$205,"&gt;="&amp;B177-'03 Mind Knobs'!$B$16+1,'00 Compact View'!$B$6:$B$205,"&lt;="&amp;B177))&gt;=MAX(1,ROUNDUP('03 Mind Knobs'!$B$16*(1-'03 Mind Knobs'!$B$8),0)))</x:f>
        <x:v>1</x:v>
      </x:c>
      <x:c r="M177" t="n">
        <x:f>--(OR(I177=1,J177=1,K177=1,L177=1))</x:f>
        <x:v>1</x:v>
      </x:c>
    </x:row>
    <x:row r="178">
      <x:c r="A178" t="n">
        <x:f>'00 Compact View'!A178</x:f>
        <x:v>9</x:v>
      </x:c>
      <x:c r="B178" t="n">
        <x:f>'00 Compact View'!B178</x:f>
        <x:v>13</x:v>
      </x:c>
      <x:c r="C178" s="12" t="n">
        <x:f>SUM('00 Compact View'!H178:L178)/5</x:f>
        <x:v>0</x:v>
      </x:c>
      <x:c r="D178" s="12" t="n">
        <x:f>SUM('00 Compact View'!M178:Q178)/5</x:f>
        <x:v>0.8</x:v>
      </x:c>
      <x:c r="E178" s="12" t="n">
        <x:f>'00 Compact View'!R178</x:f>
        <x:v>1</x:v>
      </x:c>
      <x:c r="F178" s="12" t="n">
        <x:f>'00 Compact View'!T178</x:f>
        <x:v>1</x:v>
      </x:c>
      <x:c r="G178" s="12" t="n">
        <x:f>'04 Resource Body'!$B$10</x:f>
        <x:v>0</x:v>
      </x:c>
      <x:c r="H178" t="n">
        <x:f>--(M178=0)</x:f>
        <x:v>0</x:v>
      </x:c>
      <x:c r="I178" t="n">
        <x:f>--(MIN(1,C178+D178+(E178*'03 Mind Knobs'!$B$17)+(F178*'03 Mind Knobs'!$B$18)+('03 Mind Knobs'!$B$7*F178))&gt;=MAX(0.15,0.35+(G178*'03 Mind Knobs'!$B$10)-('03 Mind Knobs'!$B$13*0.15)))</x:f>
        <x:v>1</x:v>
      </x:c>
      <x:c r="J178" t="n">
        <x:f>--(MIN(1,C178+D178+(E178*'03 Mind Knobs'!$B$17)+(F178*'03 Mind Knobs'!$B$18)+('03 Mind Knobs'!$B$7*F178))&gt;=MIN(0.95,'03 Mind Knobs'!$B$19+(G178*'03 Mind Knobs'!$B$10)-('03 Mind Knobs'!$B$13*0.10)))</x:f>
        <x:v>1</x:v>
      </x:c>
      <x:c r="K178" t="n">
        <x:f>--(AND(J178=1,OR(E178=1,F178=1)))</x:f>
        <x:v>1</x:v>
      </x:c>
      <x:c r="L178" t="n">
        <x:f>--(MAX(SUMIFS('00 Compact View'!$H$6:$H$205,'00 Compact View'!$A$6:$A$205,A178,'00 Compact View'!$B$6:$B$205,"&gt;="&amp;B178-'03 Mind Knobs'!$B$16+1,'00 Compact View'!$B$6:$B$205,"&lt;="&amp;B178),SUMIFS('00 Compact View'!$I$6:$I$205,'00 Compact View'!$A$6:$A$205,A178,'00 Compact View'!$B$6:$B$205,"&gt;="&amp;B178-'03 Mind Knobs'!$B$16+1,'00 Compact View'!$B$6:$B$205,"&lt;="&amp;B178),SUMIFS('00 Compact View'!$J$6:$J$205,'00 Compact View'!$A$6:$A$205,A178,'00 Compact View'!$B$6:$B$205,"&gt;="&amp;B178-'03 Mind Knobs'!$B$16+1,'00 Compact View'!$B$6:$B$205,"&lt;="&amp;B178),SUMIFS('00 Compact View'!$K$6:$K$205,'00 Compact View'!$A$6:$A$205,A178,'00 Compact View'!$B$6:$B$205,"&gt;="&amp;B178-'03 Mind Knobs'!$B$16+1,'00 Compact View'!$B$6:$B$205,"&lt;="&amp;B178),SUMIFS('00 Compact View'!$L$6:$L$205,'00 Compact View'!$A$6:$A$205,A178,'00 Compact View'!$B$6:$B$205,"&gt;="&amp;B178-'03 Mind Knobs'!$B$16+1,'00 Compact View'!$B$6:$B$205,"&lt;="&amp;B178))&gt;=MAX(1,ROUNDUP('03 Mind Knobs'!$B$16*(1-'03 Mind Knobs'!$B$8),0)))</x:f>
        <x:v>1</x:v>
      </x:c>
      <x:c r="M178" t="n">
        <x:f>--(OR(I178=1,J178=1,K178=1,L178=1))</x:f>
        <x:v>1</x:v>
      </x:c>
    </x:row>
    <x:row r="179">
      <x:c r="A179" t="n">
        <x:f>'00 Compact View'!A179</x:f>
        <x:v>9</x:v>
      </x:c>
      <x:c r="B179" t="n">
        <x:f>'00 Compact View'!B179</x:f>
        <x:v>14</x:v>
      </x:c>
      <x:c r="C179" s="12" t="n">
        <x:f>SUM('00 Compact View'!H179:L179)/5</x:f>
        <x:v>0.2</x:v>
      </x:c>
      <x:c r="D179" s="12" t="n">
        <x:f>SUM('00 Compact View'!M179:Q179)/5</x:f>
        <x:v>0.2</x:v>
      </x:c>
      <x:c r="E179" s="12" t="n">
        <x:f>'00 Compact View'!R179</x:f>
        <x:v>0</x:v>
      </x:c>
      <x:c r="F179" s="12" t="n">
        <x:f>'00 Compact View'!T179</x:f>
        <x:v>1</x:v>
      </x:c>
      <x:c r="G179" s="12" t="n">
        <x:f>'04 Resource Body'!$B$10</x:f>
        <x:v>0</x:v>
      </x:c>
      <x:c r="H179" t="n">
        <x:f>--(M179=0)</x:f>
        <x:v>0</x:v>
      </x:c>
      <x:c r="I179" t="n">
        <x:f>--(MIN(1,C179+D179+(E179*'03 Mind Knobs'!$B$17)+(F179*'03 Mind Knobs'!$B$18)+('03 Mind Knobs'!$B$7*F179))&gt;=MAX(0.15,0.35+(G179*'03 Mind Knobs'!$B$10)-('03 Mind Knobs'!$B$13*0.15)))</x:f>
        <x:v>1</x:v>
      </x:c>
      <x:c r="J179" t="n">
        <x:f>--(MIN(1,C179+D179+(E179*'03 Mind Knobs'!$B$17)+(F179*'03 Mind Knobs'!$B$18)+('03 Mind Knobs'!$B$7*F179))&gt;=MIN(0.95,'03 Mind Knobs'!$B$19+(G179*'03 Mind Knobs'!$B$10)-('03 Mind Knobs'!$B$13*0.10)))</x:f>
        <x:v>1</x:v>
      </x:c>
      <x:c r="K179" t="n">
        <x:f>--(AND(J179=1,OR(E179=1,F179=1)))</x:f>
        <x:v>1</x:v>
      </x:c>
      <x:c r="L179" t="n">
        <x:f>--(MAX(SUMIFS('00 Compact View'!$H$6:$H$205,'00 Compact View'!$A$6:$A$205,A179,'00 Compact View'!$B$6:$B$205,"&gt;="&amp;B179-'03 Mind Knobs'!$B$16+1,'00 Compact View'!$B$6:$B$205,"&lt;="&amp;B179),SUMIFS('00 Compact View'!$I$6:$I$205,'00 Compact View'!$A$6:$A$205,A179,'00 Compact View'!$B$6:$B$205,"&gt;="&amp;B179-'03 Mind Knobs'!$B$16+1,'00 Compact View'!$B$6:$B$205,"&lt;="&amp;B179),SUMIFS('00 Compact View'!$J$6:$J$205,'00 Compact View'!$A$6:$A$205,A179,'00 Compact View'!$B$6:$B$205,"&gt;="&amp;B179-'03 Mind Knobs'!$B$16+1,'00 Compact View'!$B$6:$B$205,"&lt;="&amp;B179),SUMIFS('00 Compact View'!$K$6:$K$205,'00 Compact View'!$A$6:$A$205,A179,'00 Compact View'!$B$6:$B$205,"&gt;="&amp;B179-'03 Mind Knobs'!$B$16+1,'00 Compact View'!$B$6:$B$205,"&lt;="&amp;B179),SUMIFS('00 Compact View'!$L$6:$L$205,'00 Compact View'!$A$6:$A$205,A179,'00 Compact View'!$B$6:$B$205,"&gt;="&amp;B179-'03 Mind Knobs'!$B$16+1,'00 Compact View'!$B$6:$B$205,"&lt;="&amp;B179))&gt;=MAX(1,ROUNDUP('03 Mind Knobs'!$B$16*(1-'03 Mind Knobs'!$B$8),0)))</x:f>
        <x:v>1</x:v>
      </x:c>
      <x:c r="M179" t="n">
        <x:f>--(OR(I179=1,J179=1,K179=1,L179=1))</x:f>
        <x:v>1</x:v>
      </x:c>
    </x:row>
    <x:row r="180">
      <x:c r="A180" t="n">
        <x:f>'00 Compact View'!A180</x:f>
        <x:v>9</x:v>
      </x:c>
      <x:c r="B180" t="n">
        <x:f>'00 Compact View'!B180</x:f>
        <x:v>15</x:v>
      </x:c>
      <x:c r="C180" s="12" t="n">
        <x:f>SUM('00 Compact View'!H180:L180)/5</x:f>
        <x:v>0</x:v>
      </x:c>
      <x:c r="D180" s="12" t="n">
        <x:f>SUM('00 Compact View'!M180:Q180)/5</x:f>
        <x:v>0.6</x:v>
      </x:c>
      <x:c r="E180" s="12" t="n">
        <x:f>'00 Compact View'!R180</x:f>
        <x:v>1</x:v>
      </x:c>
      <x:c r="F180" s="12" t="n">
        <x:f>'00 Compact View'!T180</x:f>
        <x:v>1</x:v>
      </x:c>
      <x:c r="G180" s="12" t="n">
        <x:f>'04 Resource Body'!$B$10</x:f>
        <x:v>0</x:v>
      </x:c>
      <x:c r="H180" t="n">
        <x:f>--(M180=0)</x:f>
        <x:v>0</x:v>
      </x:c>
      <x:c r="I180" t="n">
        <x:f>--(MIN(1,C180+D180+(E180*'03 Mind Knobs'!$B$17)+(F180*'03 Mind Knobs'!$B$18)+('03 Mind Knobs'!$B$7*F180))&gt;=MAX(0.15,0.35+(G180*'03 Mind Knobs'!$B$10)-('03 Mind Knobs'!$B$13*0.15)))</x:f>
        <x:v>1</x:v>
      </x:c>
      <x:c r="J180" t="n">
        <x:f>--(MIN(1,C180+D180+(E180*'03 Mind Knobs'!$B$17)+(F180*'03 Mind Knobs'!$B$18)+('03 Mind Knobs'!$B$7*F180))&gt;=MIN(0.95,'03 Mind Knobs'!$B$19+(G180*'03 Mind Knobs'!$B$10)-('03 Mind Knobs'!$B$13*0.10)))</x:f>
        <x:v>1</x:v>
      </x:c>
      <x:c r="K180" t="n">
        <x:f>--(AND(J180=1,OR(E180=1,F180=1)))</x:f>
        <x:v>1</x:v>
      </x:c>
      <x:c r="L180" t="n">
        <x:f>--(MAX(SUMIFS('00 Compact View'!$H$6:$H$205,'00 Compact View'!$A$6:$A$205,A180,'00 Compact View'!$B$6:$B$205,"&gt;="&amp;B180-'03 Mind Knobs'!$B$16+1,'00 Compact View'!$B$6:$B$205,"&lt;="&amp;B180),SUMIFS('00 Compact View'!$I$6:$I$205,'00 Compact View'!$A$6:$A$205,A180,'00 Compact View'!$B$6:$B$205,"&gt;="&amp;B180-'03 Mind Knobs'!$B$16+1,'00 Compact View'!$B$6:$B$205,"&lt;="&amp;B180),SUMIFS('00 Compact View'!$J$6:$J$205,'00 Compact View'!$A$6:$A$205,A180,'00 Compact View'!$B$6:$B$205,"&gt;="&amp;B180-'03 Mind Knobs'!$B$16+1,'00 Compact View'!$B$6:$B$205,"&lt;="&amp;B180),SUMIFS('00 Compact View'!$K$6:$K$205,'00 Compact View'!$A$6:$A$205,A180,'00 Compact View'!$B$6:$B$205,"&gt;="&amp;B180-'03 Mind Knobs'!$B$16+1,'00 Compact View'!$B$6:$B$205,"&lt;="&amp;B180),SUMIFS('00 Compact View'!$L$6:$L$205,'00 Compact View'!$A$6:$A$205,A180,'00 Compact View'!$B$6:$B$205,"&gt;="&amp;B180-'03 Mind Knobs'!$B$16+1,'00 Compact View'!$B$6:$B$205,"&lt;="&amp;B180))&gt;=MAX(1,ROUNDUP('03 Mind Knobs'!$B$16*(1-'03 Mind Knobs'!$B$8),0)))</x:f>
        <x:v>1</x:v>
      </x:c>
      <x:c r="M180" t="n">
        <x:f>--(OR(I180=1,J180=1,K180=1,L180=1))</x:f>
        <x:v>1</x:v>
      </x:c>
    </x:row>
    <x:row r="181">
      <x:c r="A181" t="n">
        <x:f>'00 Compact View'!A181</x:f>
        <x:v>9</x:v>
      </x:c>
      <x:c r="B181" t="n">
        <x:f>'00 Compact View'!B181</x:f>
        <x:v>16</x:v>
      </x:c>
      <x:c r="C181" s="12" t="n">
        <x:f>SUM('00 Compact View'!H181:L181)/5</x:f>
        <x:v>0.4</x:v>
      </x:c>
      <x:c r="D181" s="12" t="n">
        <x:f>SUM('00 Compact View'!M181:Q181)/5</x:f>
        <x:v>0.8</x:v>
      </x:c>
      <x:c r="E181" s="12" t="n">
        <x:f>'00 Compact View'!R181</x:f>
        <x:v>1</x:v>
      </x:c>
      <x:c r="F181" s="12" t="n">
        <x:f>'00 Compact View'!T181</x:f>
        <x:v>1</x:v>
      </x:c>
      <x:c r="G181" s="12" t="n">
        <x:f>'04 Resource Body'!$B$10</x:f>
        <x:v>0</x:v>
      </x:c>
      <x:c r="H181" t="n">
        <x:f>--(M181=0)</x:f>
        <x:v>0</x:v>
      </x:c>
      <x:c r="I181" t="n">
        <x:f>--(MIN(1,C181+D181+(E181*'03 Mind Knobs'!$B$17)+(F181*'03 Mind Knobs'!$B$18)+('03 Mind Knobs'!$B$7*F181))&gt;=MAX(0.15,0.35+(G181*'03 Mind Knobs'!$B$10)-('03 Mind Knobs'!$B$13*0.15)))</x:f>
        <x:v>1</x:v>
      </x:c>
      <x:c r="J181" t="n">
        <x:f>--(MIN(1,C181+D181+(E181*'03 Mind Knobs'!$B$17)+(F181*'03 Mind Knobs'!$B$18)+('03 Mind Knobs'!$B$7*F181))&gt;=MIN(0.95,'03 Mind Knobs'!$B$19+(G181*'03 Mind Knobs'!$B$10)-('03 Mind Knobs'!$B$13*0.10)))</x:f>
        <x:v>1</x:v>
      </x:c>
      <x:c r="K181" t="n">
        <x:f>--(AND(J181=1,OR(E181=1,F181=1)))</x:f>
        <x:v>1</x:v>
      </x:c>
      <x:c r="L181" t="n">
        <x:f>--(MAX(SUMIFS('00 Compact View'!$H$6:$H$205,'00 Compact View'!$A$6:$A$205,A181,'00 Compact View'!$B$6:$B$205,"&gt;="&amp;B181-'03 Mind Knobs'!$B$16+1,'00 Compact View'!$B$6:$B$205,"&lt;="&amp;B181),SUMIFS('00 Compact View'!$I$6:$I$205,'00 Compact View'!$A$6:$A$205,A181,'00 Compact View'!$B$6:$B$205,"&gt;="&amp;B181-'03 Mind Knobs'!$B$16+1,'00 Compact View'!$B$6:$B$205,"&lt;="&amp;B181),SUMIFS('00 Compact View'!$J$6:$J$205,'00 Compact View'!$A$6:$A$205,A181,'00 Compact View'!$B$6:$B$205,"&gt;="&amp;B181-'03 Mind Knobs'!$B$16+1,'00 Compact View'!$B$6:$B$205,"&lt;="&amp;B181),SUMIFS('00 Compact View'!$K$6:$K$205,'00 Compact View'!$A$6:$A$205,A181,'00 Compact View'!$B$6:$B$205,"&gt;="&amp;B181-'03 Mind Knobs'!$B$16+1,'00 Compact View'!$B$6:$B$205,"&lt;="&amp;B181),SUMIFS('00 Compact View'!$L$6:$L$205,'00 Compact View'!$A$6:$A$205,A181,'00 Compact View'!$B$6:$B$205,"&gt;="&amp;B181-'03 Mind Knobs'!$B$16+1,'00 Compact View'!$B$6:$B$205,"&lt;="&amp;B181))&gt;=MAX(1,ROUNDUP('03 Mind Knobs'!$B$16*(1-'03 Mind Knobs'!$B$8),0)))</x:f>
        <x:v>1</x:v>
      </x:c>
      <x:c r="M181" t="n">
        <x:f>--(OR(I181=1,J181=1,K181=1,L181=1))</x:f>
        <x:v>1</x:v>
      </x:c>
    </x:row>
    <x:row r="182">
      <x:c r="A182" t="n">
        <x:f>'00 Compact View'!A182</x:f>
        <x:v>9</x:v>
      </x:c>
      <x:c r="B182" t="n">
        <x:f>'00 Compact View'!B182</x:f>
        <x:v>17</x:v>
      </x:c>
      <x:c r="C182" s="12" t="n">
        <x:f>SUM('00 Compact View'!H182:L182)/5</x:f>
        <x:v>0</x:v>
      </x:c>
      <x:c r="D182" s="12" t="n">
        <x:f>SUM('00 Compact View'!M182:Q182)/5</x:f>
        <x:v>0.4</x:v>
      </x:c>
      <x:c r="E182" s="12" t="n">
        <x:f>'00 Compact View'!R182</x:f>
        <x:v>1</x:v>
      </x:c>
      <x:c r="F182" s="12" t="n">
        <x:f>'00 Compact View'!T182</x:f>
        <x:v>1</x:v>
      </x:c>
      <x:c r="G182" s="12" t="n">
        <x:f>'04 Resource Body'!$B$10</x:f>
        <x:v>0</x:v>
      </x:c>
      <x:c r="H182" t="n">
        <x:f>--(M182=0)</x:f>
        <x:v>0</x:v>
      </x:c>
      <x:c r="I182" t="n">
        <x:f>--(MIN(1,C182+D182+(E182*'03 Mind Knobs'!$B$17)+(F182*'03 Mind Knobs'!$B$18)+('03 Mind Knobs'!$B$7*F182))&gt;=MAX(0.15,0.35+(G182*'03 Mind Knobs'!$B$10)-('03 Mind Knobs'!$B$13*0.15)))</x:f>
        <x:v>1</x:v>
      </x:c>
      <x:c r="J182" t="n">
        <x:f>--(MIN(1,C182+D182+(E182*'03 Mind Knobs'!$B$17)+(F182*'03 Mind Knobs'!$B$18)+('03 Mind Knobs'!$B$7*F182))&gt;=MIN(0.95,'03 Mind Knobs'!$B$19+(G182*'03 Mind Knobs'!$B$10)-('03 Mind Knobs'!$B$13*0.10)))</x:f>
        <x:v>1</x:v>
      </x:c>
      <x:c r="K182" t="n">
        <x:f>--(AND(J182=1,OR(E182=1,F182=1)))</x:f>
        <x:v>1</x:v>
      </x:c>
      <x:c r="L182" t="n">
        <x:f>--(MAX(SUMIFS('00 Compact View'!$H$6:$H$205,'00 Compact View'!$A$6:$A$205,A182,'00 Compact View'!$B$6:$B$205,"&gt;="&amp;B182-'03 Mind Knobs'!$B$16+1,'00 Compact View'!$B$6:$B$205,"&lt;="&amp;B182),SUMIFS('00 Compact View'!$I$6:$I$205,'00 Compact View'!$A$6:$A$205,A182,'00 Compact View'!$B$6:$B$205,"&gt;="&amp;B182-'03 Mind Knobs'!$B$16+1,'00 Compact View'!$B$6:$B$205,"&lt;="&amp;B182),SUMIFS('00 Compact View'!$J$6:$J$205,'00 Compact View'!$A$6:$A$205,A182,'00 Compact View'!$B$6:$B$205,"&gt;="&amp;B182-'03 Mind Knobs'!$B$16+1,'00 Compact View'!$B$6:$B$205,"&lt;="&amp;B182),SUMIFS('00 Compact View'!$K$6:$K$205,'00 Compact View'!$A$6:$A$205,A182,'00 Compact View'!$B$6:$B$205,"&gt;="&amp;B182-'03 Mind Knobs'!$B$16+1,'00 Compact View'!$B$6:$B$205,"&lt;="&amp;B182),SUMIFS('00 Compact View'!$L$6:$L$205,'00 Compact View'!$A$6:$A$205,A182,'00 Compact View'!$B$6:$B$205,"&gt;="&amp;B182-'03 Mind Knobs'!$B$16+1,'00 Compact View'!$B$6:$B$205,"&lt;="&amp;B182))&gt;=MAX(1,ROUNDUP('03 Mind Knobs'!$B$16*(1-'03 Mind Knobs'!$B$8),0)))</x:f>
        <x:v>1</x:v>
      </x:c>
      <x:c r="M182" t="n">
        <x:f>--(OR(I182=1,J182=1,K182=1,L182=1))</x:f>
        <x:v>1</x:v>
      </x:c>
    </x:row>
    <x:row r="183">
      <x:c r="A183" t="n">
        <x:f>'00 Compact View'!A183</x:f>
        <x:v>9</x:v>
      </x:c>
      <x:c r="B183" t="n">
        <x:f>'00 Compact View'!B183</x:f>
        <x:v>18</x:v>
      </x:c>
      <x:c r="C183" s="12" t="n">
        <x:f>SUM('00 Compact View'!H183:L183)/5</x:f>
        <x:v>0.4</x:v>
      </x:c>
      <x:c r="D183" s="12" t="n">
        <x:f>SUM('00 Compact View'!M183:Q183)/5</x:f>
        <x:v>0.4</x:v>
      </x:c>
      <x:c r="E183" s="12" t="n">
        <x:f>'00 Compact View'!R183</x:f>
        <x:v>1</x:v>
      </x:c>
      <x:c r="F183" s="12" t="n">
        <x:f>'00 Compact View'!T183</x:f>
        <x:v>0</x:v>
      </x:c>
      <x:c r="G183" s="12" t="n">
        <x:f>'04 Resource Body'!$B$10</x:f>
        <x:v>0</x:v>
      </x:c>
      <x:c r="H183" t="n">
        <x:f>--(M183=0)</x:f>
        <x:v>0</x:v>
      </x:c>
      <x:c r="I183" t="n">
        <x:f>--(MIN(1,C183+D183+(E183*'03 Mind Knobs'!$B$17)+(F183*'03 Mind Knobs'!$B$18)+('03 Mind Knobs'!$B$7*F183))&gt;=MAX(0.15,0.35+(G183*'03 Mind Knobs'!$B$10)-('03 Mind Knobs'!$B$13*0.15)))</x:f>
        <x:v>1</x:v>
      </x:c>
      <x:c r="J183" t="n">
        <x:f>--(MIN(1,C183+D183+(E183*'03 Mind Knobs'!$B$17)+(F183*'03 Mind Knobs'!$B$18)+('03 Mind Knobs'!$B$7*F183))&gt;=MIN(0.95,'03 Mind Knobs'!$B$19+(G183*'03 Mind Knobs'!$B$10)-('03 Mind Knobs'!$B$13*0.10)))</x:f>
        <x:v>1</x:v>
      </x:c>
      <x:c r="K183" t="n">
        <x:f>--(AND(J183=1,OR(E183=1,F183=1)))</x:f>
        <x:v>1</x:v>
      </x:c>
      <x:c r="L183" t="n">
        <x:f>--(MAX(SUMIFS('00 Compact View'!$H$6:$H$205,'00 Compact View'!$A$6:$A$205,A183,'00 Compact View'!$B$6:$B$205,"&gt;="&amp;B183-'03 Mind Knobs'!$B$16+1,'00 Compact View'!$B$6:$B$205,"&lt;="&amp;B183),SUMIFS('00 Compact View'!$I$6:$I$205,'00 Compact View'!$A$6:$A$205,A183,'00 Compact View'!$B$6:$B$205,"&gt;="&amp;B183-'03 Mind Knobs'!$B$16+1,'00 Compact View'!$B$6:$B$205,"&lt;="&amp;B183),SUMIFS('00 Compact View'!$J$6:$J$205,'00 Compact View'!$A$6:$A$205,A183,'00 Compact View'!$B$6:$B$205,"&gt;="&amp;B183-'03 Mind Knobs'!$B$16+1,'00 Compact View'!$B$6:$B$205,"&lt;="&amp;B183),SUMIFS('00 Compact View'!$K$6:$K$205,'00 Compact View'!$A$6:$A$205,A183,'00 Compact View'!$B$6:$B$205,"&gt;="&amp;B183-'03 Mind Knobs'!$B$16+1,'00 Compact View'!$B$6:$B$205,"&lt;="&amp;B183),SUMIFS('00 Compact View'!$L$6:$L$205,'00 Compact View'!$A$6:$A$205,A183,'00 Compact View'!$B$6:$B$205,"&gt;="&amp;B183-'03 Mind Knobs'!$B$16+1,'00 Compact View'!$B$6:$B$205,"&lt;="&amp;B183))&gt;=MAX(1,ROUNDUP('03 Mind Knobs'!$B$16*(1-'03 Mind Knobs'!$B$8),0)))</x:f>
        <x:v>1</x:v>
      </x:c>
      <x:c r="M183" t="n">
        <x:f>--(OR(I183=1,J183=1,K183=1,L183=1))</x:f>
        <x:v>1</x:v>
      </x:c>
    </x:row>
    <x:row r="184">
      <x:c r="A184" t="n">
        <x:f>'00 Compact View'!A184</x:f>
        <x:v>9</x:v>
      </x:c>
      <x:c r="B184" t="n">
        <x:f>'00 Compact View'!B184</x:f>
        <x:v>19</x:v>
      </x:c>
      <x:c r="C184" s="12" t="n">
        <x:f>SUM('00 Compact View'!H184:L184)/5</x:f>
        <x:v>0</x:v>
      </x:c>
      <x:c r="D184" s="12" t="n">
        <x:f>SUM('00 Compact View'!M184:Q184)/5</x:f>
        <x:v>0.6</x:v>
      </x:c>
      <x:c r="E184" s="12" t="n">
        <x:f>'00 Compact View'!R184</x:f>
        <x:v>1</x:v>
      </x:c>
      <x:c r="F184" s="12" t="n">
        <x:f>'00 Compact View'!T184</x:f>
        <x:v>1</x:v>
      </x:c>
      <x:c r="G184" s="12" t="n">
        <x:f>'04 Resource Body'!$B$10</x:f>
        <x:v>0</x:v>
      </x:c>
      <x:c r="H184" t="n">
        <x:f>--(M184=0)</x:f>
        <x:v>0</x:v>
      </x:c>
      <x:c r="I184" t="n">
        <x:f>--(MIN(1,C184+D184+(E184*'03 Mind Knobs'!$B$17)+(F184*'03 Mind Knobs'!$B$18)+('03 Mind Knobs'!$B$7*F184))&gt;=MAX(0.15,0.35+(G184*'03 Mind Knobs'!$B$10)-('03 Mind Knobs'!$B$13*0.15)))</x:f>
        <x:v>1</x:v>
      </x:c>
      <x:c r="J184" t="n">
        <x:f>--(MIN(1,C184+D184+(E184*'03 Mind Knobs'!$B$17)+(F184*'03 Mind Knobs'!$B$18)+('03 Mind Knobs'!$B$7*F184))&gt;=MIN(0.95,'03 Mind Knobs'!$B$19+(G184*'03 Mind Knobs'!$B$10)-('03 Mind Knobs'!$B$13*0.10)))</x:f>
        <x:v>1</x:v>
      </x:c>
      <x:c r="K184" t="n">
        <x:f>--(AND(J184=1,OR(E184=1,F184=1)))</x:f>
        <x:v>1</x:v>
      </x:c>
      <x:c r="L184" t="n">
        <x:f>--(MAX(SUMIFS('00 Compact View'!$H$6:$H$205,'00 Compact View'!$A$6:$A$205,A184,'00 Compact View'!$B$6:$B$205,"&gt;="&amp;B184-'03 Mind Knobs'!$B$16+1,'00 Compact View'!$B$6:$B$205,"&lt;="&amp;B184),SUMIFS('00 Compact View'!$I$6:$I$205,'00 Compact View'!$A$6:$A$205,A184,'00 Compact View'!$B$6:$B$205,"&gt;="&amp;B184-'03 Mind Knobs'!$B$16+1,'00 Compact View'!$B$6:$B$205,"&lt;="&amp;B184),SUMIFS('00 Compact View'!$J$6:$J$205,'00 Compact View'!$A$6:$A$205,A184,'00 Compact View'!$B$6:$B$205,"&gt;="&amp;B184-'03 Mind Knobs'!$B$16+1,'00 Compact View'!$B$6:$B$205,"&lt;="&amp;B184),SUMIFS('00 Compact View'!$K$6:$K$205,'00 Compact View'!$A$6:$A$205,A184,'00 Compact View'!$B$6:$B$205,"&gt;="&amp;B184-'03 Mind Knobs'!$B$16+1,'00 Compact View'!$B$6:$B$205,"&lt;="&amp;B184),SUMIFS('00 Compact View'!$L$6:$L$205,'00 Compact View'!$A$6:$A$205,A184,'00 Compact View'!$B$6:$B$205,"&gt;="&amp;B184-'03 Mind Knobs'!$B$16+1,'00 Compact View'!$B$6:$B$205,"&lt;="&amp;B184))&gt;=MAX(1,ROUNDUP('03 Mind Knobs'!$B$16*(1-'03 Mind Knobs'!$B$8),0)))</x:f>
        <x:v>1</x:v>
      </x:c>
      <x:c r="M184" t="n">
        <x:f>--(OR(I184=1,J184=1,K184=1,L184=1))</x:f>
        <x:v>1</x:v>
      </x:c>
    </x:row>
    <x:row r="185">
      <x:c r="A185" t="n">
        <x:f>'00 Compact View'!A185</x:f>
        <x:v>9</x:v>
      </x:c>
      <x:c r="B185" t="n">
        <x:f>'00 Compact View'!B185</x:f>
        <x:v>20</x:v>
      </x:c>
      <x:c r="C185" s="12" t="n">
        <x:f>SUM('00 Compact View'!H185:L185)/5</x:f>
        <x:v>0.4</x:v>
      </x:c>
      <x:c r="D185" s="12" t="n">
        <x:f>SUM('00 Compact View'!M185:Q185)/5</x:f>
        <x:v>0.6</x:v>
      </x:c>
      <x:c r="E185" s="12" t="n">
        <x:f>'00 Compact View'!R185</x:f>
        <x:v>1</x:v>
      </x:c>
      <x:c r="F185" s="12" t="n">
        <x:f>'00 Compact View'!T185</x:f>
        <x:v>0</x:v>
      </x:c>
      <x:c r="G185" s="12" t="n">
        <x:f>'04 Resource Body'!$B$10</x:f>
        <x:v>0</x:v>
      </x:c>
      <x:c r="H185" t="n">
        <x:f>--(M185=0)</x:f>
        <x:v>0</x:v>
      </x:c>
      <x:c r="I185" t="n">
        <x:f>--(MIN(1,C185+D185+(E185*'03 Mind Knobs'!$B$17)+(F185*'03 Mind Knobs'!$B$18)+('03 Mind Knobs'!$B$7*F185))&gt;=MAX(0.15,0.35+(G185*'03 Mind Knobs'!$B$10)-('03 Mind Knobs'!$B$13*0.15)))</x:f>
        <x:v>1</x:v>
      </x:c>
      <x:c r="J185" t="n">
        <x:f>--(MIN(1,C185+D185+(E185*'03 Mind Knobs'!$B$17)+(F185*'03 Mind Knobs'!$B$18)+('03 Mind Knobs'!$B$7*F185))&gt;=MIN(0.95,'03 Mind Knobs'!$B$19+(G185*'03 Mind Knobs'!$B$10)-('03 Mind Knobs'!$B$13*0.10)))</x:f>
        <x:v>1</x:v>
      </x:c>
      <x:c r="K185" t="n">
        <x:f>--(AND(J185=1,OR(E185=1,F185=1)))</x:f>
        <x:v>1</x:v>
      </x:c>
      <x:c r="L185" t="n">
        <x:f>--(MAX(SUMIFS('00 Compact View'!$H$6:$H$205,'00 Compact View'!$A$6:$A$205,A185,'00 Compact View'!$B$6:$B$205,"&gt;="&amp;B185-'03 Mind Knobs'!$B$16+1,'00 Compact View'!$B$6:$B$205,"&lt;="&amp;B185),SUMIFS('00 Compact View'!$I$6:$I$205,'00 Compact View'!$A$6:$A$205,A185,'00 Compact View'!$B$6:$B$205,"&gt;="&amp;B185-'03 Mind Knobs'!$B$16+1,'00 Compact View'!$B$6:$B$205,"&lt;="&amp;B185),SUMIFS('00 Compact View'!$J$6:$J$205,'00 Compact View'!$A$6:$A$205,A185,'00 Compact View'!$B$6:$B$205,"&gt;="&amp;B185-'03 Mind Knobs'!$B$16+1,'00 Compact View'!$B$6:$B$205,"&lt;="&amp;B185),SUMIFS('00 Compact View'!$K$6:$K$205,'00 Compact View'!$A$6:$A$205,A185,'00 Compact View'!$B$6:$B$205,"&gt;="&amp;B185-'03 Mind Knobs'!$B$16+1,'00 Compact View'!$B$6:$B$205,"&lt;="&amp;B185),SUMIFS('00 Compact View'!$L$6:$L$205,'00 Compact View'!$A$6:$A$205,A185,'00 Compact View'!$B$6:$B$205,"&gt;="&amp;B185-'03 Mind Knobs'!$B$16+1,'00 Compact View'!$B$6:$B$205,"&lt;="&amp;B185))&gt;=MAX(1,ROUNDUP('03 Mind Knobs'!$B$16*(1-'03 Mind Knobs'!$B$8),0)))</x:f>
        <x:v>1</x:v>
      </x:c>
      <x:c r="M185" t="n">
        <x:f>--(OR(I185=1,J185=1,K185=1,L185=1))</x:f>
        <x:v>1</x:v>
      </x:c>
    </x:row>
    <x:row r="186">
      <x:c r="A186" t="n">
        <x:f>'00 Compact View'!A186</x:f>
        <x:v>10</x:v>
      </x:c>
      <x:c r="B186" t="n">
        <x:f>'00 Compact View'!B186</x:f>
        <x:v>1</x:v>
      </x:c>
      <x:c r="C186" s="12" t="n">
        <x:f>SUM('00 Compact View'!H186:L186)/5</x:f>
        <x:v>0.4</x:v>
      </x:c>
      <x:c r="D186" s="12" t="n">
        <x:f>SUM('00 Compact View'!M186:Q186)/5</x:f>
        <x:v>0</x:v>
      </x:c>
      <x:c r="E186" s="12" t="n">
        <x:f>'00 Compact View'!R186</x:f>
        <x:v>0</x:v>
      </x:c>
      <x:c r="F186" s="12" t="n">
        <x:f>'00 Compact View'!T186</x:f>
        <x:v>0</x:v>
      </x:c>
      <x:c r="G186" s="12" t="n">
        <x:f>'04 Resource Body'!$B$10</x:f>
        <x:v>0</x:v>
      </x:c>
      <x:c r="H186" t="n">
        <x:f>--(M186=0)</x:f>
        <x:v>0</x:v>
      </x:c>
      <x:c r="I186" t="n">
        <x:f>--(MIN(1,C186+D186+(E186*'03 Mind Knobs'!$B$17)+(F186*'03 Mind Knobs'!$B$18)+('03 Mind Knobs'!$B$7*F186))&gt;=MAX(0.15,0.35+(G186*'03 Mind Knobs'!$B$10)-('03 Mind Knobs'!$B$13*0.15)))</x:f>
        <x:v>1</x:v>
      </x:c>
      <x:c r="J186" t="n">
        <x:f>--(MIN(1,C186+D186+(E186*'03 Mind Knobs'!$B$17)+(F186*'03 Mind Knobs'!$B$18)+('03 Mind Knobs'!$B$7*F186))&gt;=MIN(0.95,'03 Mind Knobs'!$B$19+(G186*'03 Mind Knobs'!$B$10)-('03 Mind Knobs'!$B$13*0.10)))</x:f>
        <x:v>0</x:v>
      </x:c>
      <x:c r="K186" t="n">
        <x:f>--(AND(J186=1,OR(E186=1,F186=1)))</x:f>
        <x:v>0</x:v>
      </x:c>
      <x:c r="L186" t="n">
        <x:f>--(MAX(SUMIFS('00 Compact View'!$H$6:$H$205,'00 Compact View'!$A$6:$A$205,A186,'00 Compact View'!$B$6:$B$205,"&gt;="&amp;B186-'03 Mind Knobs'!$B$16+1,'00 Compact View'!$B$6:$B$205,"&lt;="&amp;B186),SUMIFS('00 Compact View'!$I$6:$I$205,'00 Compact View'!$A$6:$A$205,A186,'00 Compact View'!$B$6:$B$205,"&gt;="&amp;B186-'03 Mind Knobs'!$B$16+1,'00 Compact View'!$B$6:$B$205,"&lt;="&amp;B186),SUMIFS('00 Compact View'!$J$6:$J$205,'00 Compact View'!$A$6:$A$205,A186,'00 Compact View'!$B$6:$B$205,"&gt;="&amp;B186-'03 Mind Knobs'!$B$16+1,'00 Compact View'!$B$6:$B$205,"&lt;="&amp;B186),SUMIFS('00 Compact View'!$K$6:$K$205,'00 Compact View'!$A$6:$A$205,A186,'00 Compact View'!$B$6:$B$205,"&gt;="&amp;B186-'03 Mind Knobs'!$B$16+1,'00 Compact View'!$B$6:$B$205,"&lt;="&amp;B186),SUMIFS('00 Compact View'!$L$6:$L$205,'00 Compact View'!$A$6:$A$205,A186,'00 Compact View'!$B$6:$B$205,"&gt;="&amp;B186-'03 Mind Knobs'!$B$16+1,'00 Compact View'!$B$6:$B$205,"&lt;="&amp;B186))&gt;=MAX(1,ROUNDUP('03 Mind Knobs'!$B$16*(1-'03 Mind Knobs'!$B$8),0)))</x:f>
        <x:v>0</x:v>
      </x:c>
      <x:c r="M186" t="n">
        <x:f>--(OR(I186=1,J186=1,K186=1,L186=1))</x:f>
        <x:v>1</x:v>
      </x:c>
    </x:row>
    <x:row r="187">
      <x:c r="A187" t="n">
        <x:f>'00 Compact View'!A187</x:f>
        <x:v>10</x:v>
      </x:c>
      <x:c r="B187" t="n">
        <x:f>'00 Compact View'!B187</x:f>
        <x:v>2</x:v>
      </x:c>
      <x:c r="C187" s="12" t="n">
        <x:f>SUM('00 Compact View'!H187:L187)/5</x:f>
        <x:v>0.6</x:v>
      </x:c>
      <x:c r="D187" s="12" t="n">
        <x:f>SUM('00 Compact View'!M187:Q187)/5</x:f>
        <x:v>1</x:v>
      </x:c>
      <x:c r="E187" s="12" t="n">
        <x:f>'00 Compact View'!R187</x:f>
        <x:v>1</x:v>
      </x:c>
      <x:c r="F187" s="12" t="n">
        <x:f>'00 Compact View'!T187</x:f>
        <x:v>1</x:v>
      </x:c>
      <x:c r="G187" s="12" t="n">
        <x:f>'04 Resource Body'!$B$10</x:f>
        <x:v>0</x:v>
      </x:c>
      <x:c r="H187" t="n">
        <x:f>--(M187=0)</x:f>
        <x:v>0</x:v>
      </x:c>
      <x:c r="I187" t="n">
        <x:f>--(MIN(1,C187+D187+(E187*'03 Mind Knobs'!$B$17)+(F187*'03 Mind Knobs'!$B$18)+('03 Mind Knobs'!$B$7*F187))&gt;=MAX(0.15,0.35+(G187*'03 Mind Knobs'!$B$10)-('03 Mind Knobs'!$B$13*0.15)))</x:f>
        <x:v>1</x:v>
      </x:c>
      <x:c r="J187" t="n">
        <x:f>--(MIN(1,C187+D187+(E187*'03 Mind Knobs'!$B$17)+(F187*'03 Mind Knobs'!$B$18)+('03 Mind Knobs'!$B$7*F187))&gt;=MIN(0.95,'03 Mind Knobs'!$B$19+(G187*'03 Mind Knobs'!$B$10)-('03 Mind Knobs'!$B$13*0.10)))</x:f>
        <x:v>1</x:v>
      </x:c>
      <x:c r="K187" t="n">
        <x:f>--(AND(J187=1,OR(E187=1,F187=1)))</x:f>
        <x:v>1</x:v>
      </x:c>
      <x:c r="L187" t="n">
        <x:f>--(MAX(SUMIFS('00 Compact View'!$H$6:$H$205,'00 Compact View'!$A$6:$A$205,A187,'00 Compact View'!$B$6:$B$205,"&gt;="&amp;B187-'03 Mind Knobs'!$B$16+1,'00 Compact View'!$B$6:$B$205,"&lt;="&amp;B187),SUMIFS('00 Compact View'!$I$6:$I$205,'00 Compact View'!$A$6:$A$205,A187,'00 Compact View'!$B$6:$B$205,"&gt;="&amp;B187-'03 Mind Knobs'!$B$16+1,'00 Compact View'!$B$6:$B$205,"&lt;="&amp;B187),SUMIFS('00 Compact View'!$J$6:$J$205,'00 Compact View'!$A$6:$A$205,A187,'00 Compact View'!$B$6:$B$205,"&gt;="&amp;B187-'03 Mind Knobs'!$B$16+1,'00 Compact View'!$B$6:$B$205,"&lt;="&amp;B187),SUMIFS('00 Compact View'!$K$6:$K$205,'00 Compact View'!$A$6:$A$205,A187,'00 Compact View'!$B$6:$B$205,"&gt;="&amp;B187-'03 Mind Knobs'!$B$16+1,'00 Compact View'!$B$6:$B$205,"&lt;="&amp;B187),SUMIFS('00 Compact View'!$L$6:$L$205,'00 Compact View'!$A$6:$A$205,A187,'00 Compact View'!$B$6:$B$205,"&gt;="&amp;B187-'03 Mind Knobs'!$B$16+1,'00 Compact View'!$B$6:$B$205,"&lt;="&amp;B187))&gt;=MAX(1,ROUNDUP('03 Mind Knobs'!$B$16*(1-'03 Mind Knobs'!$B$8),0)))</x:f>
        <x:v>0</x:v>
      </x:c>
      <x:c r="M187" t="n">
        <x:f>--(OR(I187=1,J187=1,K187=1,L187=1))</x:f>
        <x:v>1</x:v>
      </x:c>
    </x:row>
    <x:row r="188">
      <x:c r="A188" t="n">
        <x:f>'00 Compact View'!A188</x:f>
        <x:v>10</x:v>
      </x:c>
      <x:c r="B188" t="n">
        <x:f>'00 Compact View'!B188</x:f>
        <x:v>3</x:v>
      </x:c>
      <x:c r="C188" s="12" t="n">
        <x:f>SUM('00 Compact View'!H188:L188)/5</x:f>
        <x:v>0.4</x:v>
      </x:c>
      <x:c r="D188" s="12" t="n">
        <x:f>SUM('00 Compact View'!M188:Q188)/5</x:f>
        <x:v>1</x:v>
      </x:c>
      <x:c r="E188" s="12" t="n">
        <x:f>'00 Compact View'!R188</x:f>
        <x:v>1</x:v>
      </x:c>
      <x:c r="F188" s="12" t="n">
        <x:f>'00 Compact View'!T188</x:f>
        <x:v>0</x:v>
      </x:c>
      <x:c r="G188" s="12" t="n">
        <x:f>'04 Resource Body'!$B$10</x:f>
        <x:v>0</x:v>
      </x:c>
      <x:c r="H188" t="n">
        <x:f>--(M188=0)</x:f>
        <x:v>0</x:v>
      </x:c>
      <x:c r="I188" t="n">
        <x:f>--(MIN(1,C188+D188+(E188*'03 Mind Knobs'!$B$17)+(F188*'03 Mind Knobs'!$B$18)+('03 Mind Knobs'!$B$7*F188))&gt;=MAX(0.15,0.35+(G188*'03 Mind Knobs'!$B$10)-('03 Mind Knobs'!$B$13*0.15)))</x:f>
        <x:v>1</x:v>
      </x:c>
      <x:c r="J188" t="n">
        <x:f>--(MIN(1,C188+D188+(E188*'03 Mind Knobs'!$B$17)+(F188*'03 Mind Knobs'!$B$18)+('03 Mind Knobs'!$B$7*F188))&gt;=MIN(0.95,'03 Mind Knobs'!$B$19+(G188*'03 Mind Knobs'!$B$10)-('03 Mind Knobs'!$B$13*0.10)))</x:f>
        <x:v>1</x:v>
      </x:c>
      <x:c r="K188" t="n">
        <x:f>--(AND(J188=1,OR(E188=1,F188=1)))</x:f>
        <x:v>1</x:v>
      </x:c>
      <x:c r="L188" t="n">
        <x:f>--(MAX(SUMIFS('00 Compact View'!$H$6:$H$205,'00 Compact View'!$A$6:$A$205,A188,'00 Compact View'!$B$6:$B$205,"&gt;="&amp;B188-'03 Mind Knobs'!$B$16+1,'00 Compact View'!$B$6:$B$205,"&lt;="&amp;B188),SUMIFS('00 Compact View'!$I$6:$I$205,'00 Compact View'!$A$6:$A$205,A188,'00 Compact View'!$B$6:$B$205,"&gt;="&amp;B188-'03 Mind Knobs'!$B$16+1,'00 Compact View'!$B$6:$B$205,"&lt;="&amp;B188),SUMIFS('00 Compact View'!$J$6:$J$205,'00 Compact View'!$A$6:$A$205,A188,'00 Compact View'!$B$6:$B$205,"&gt;="&amp;B188-'03 Mind Knobs'!$B$16+1,'00 Compact View'!$B$6:$B$205,"&lt;="&amp;B188),SUMIFS('00 Compact View'!$K$6:$K$205,'00 Compact View'!$A$6:$A$205,A188,'00 Compact View'!$B$6:$B$205,"&gt;="&amp;B188-'03 Mind Knobs'!$B$16+1,'00 Compact View'!$B$6:$B$205,"&lt;="&amp;B188),SUMIFS('00 Compact View'!$L$6:$L$205,'00 Compact View'!$A$6:$A$205,A188,'00 Compact View'!$B$6:$B$205,"&gt;="&amp;B188-'03 Mind Knobs'!$B$16+1,'00 Compact View'!$B$6:$B$205,"&lt;="&amp;B188))&gt;=MAX(1,ROUNDUP('03 Mind Knobs'!$B$16*(1-'03 Mind Knobs'!$B$8),0)))</x:f>
        <x:v>0</x:v>
      </x:c>
      <x:c r="M188" t="n">
        <x:f>--(OR(I188=1,J188=1,K188=1,L188=1))</x:f>
        <x:v>1</x:v>
      </x:c>
    </x:row>
    <x:row r="189">
      <x:c r="A189" t="n">
        <x:f>'00 Compact View'!A189</x:f>
        <x:v>10</x:v>
      </x:c>
      <x:c r="B189" t="n">
        <x:f>'00 Compact View'!B189</x:f>
        <x:v>4</x:v>
      </x:c>
      <x:c r="C189" s="12" t="n">
        <x:f>SUM('00 Compact View'!H189:L189)/5</x:f>
        <x:v>0.6</x:v>
      </x:c>
      <x:c r="D189" s="12" t="n">
        <x:f>SUM('00 Compact View'!M189:Q189)/5</x:f>
        <x:v>1</x:v>
      </x:c>
      <x:c r="E189" s="12" t="n">
        <x:f>'00 Compact View'!R189</x:f>
        <x:v>1</x:v>
      </x:c>
      <x:c r="F189" s="12" t="n">
        <x:f>'00 Compact View'!T189</x:f>
        <x:v>0</x:v>
      </x:c>
      <x:c r="G189" s="12" t="n">
        <x:f>'04 Resource Body'!$B$10</x:f>
        <x:v>0</x:v>
      </x:c>
      <x:c r="H189" t="n">
        <x:f>--(M189=0)</x:f>
        <x:v>0</x:v>
      </x:c>
      <x:c r="I189" t="n">
        <x:f>--(MIN(1,C189+D189+(E189*'03 Mind Knobs'!$B$17)+(F189*'03 Mind Knobs'!$B$18)+('03 Mind Knobs'!$B$7*F189))&gt;=MAX(0.15,0.35+(G189*'03 Mind Knobs'!$B$10)-('03 Mind Knobs'!$B$13*0.15)))</x:f>
        <x:v>1</x:v>
      </x:c>
      <x:c r="J189" t="n">
        <x:f>--(MIN(1,C189+D189+(E189*'03 Mind Knobs'!$B$17)+(F189*'03 Mind Knobs'!$B$18)+('03 Mind Knobs'!$B$7*F189))&gt;=MIN(0.95,'03 Mind Knobs'!$B$19+(G189*'03 Mind Knobs'!$B$10)-('03 Mind Knobs'!$B$13*0.10)))</x:f>
        <x:v>1</x:v>
      </x:c>
      <x:c r="K189" t="n">
        <x:f>--(AND(J189=1,OR(E189=1,F189=1)))</x:f>
        <x:v>1</x:v>
      </x:c>
      <x:c r="L189" t="n">
        <x:f>--(MAX(SUMIFS('00 Compact View'!$H$6:$H$205,'00 Compact View'!$A$6:$A$205,A189,'00 Compact View'!$B$6:$B$205,"&gt;="&amp;B189-'03 Mind Knobs'!$B$16+1,'00 Compact View'!$B$6:$B$205,"&lt;="&amp;B189),SUMIFS('00 Compact View'!$I$6:$I$205,'00 Compact View'!$A$6:$A$205,A189,'00 Compact View'!$B$6:$B$205,"&gt;="&amp;B189-'03 Mind Knobs'!$B$16+1,'00 Compact View'!$B$6:$B$205,"&lt;="&amp;B189),SUMIFS('00 Compact View'!$J$6:$J$205,'00 Compact View'!$A$6:$A$205,A189,'00 Compact View'!$B$6:$B$205,"&gt;="&amp;B189-'03 Mind Knobs'!$B$16+1,'00 Compact View'!$B$6:$B$205,"&lt;="&amp;B189),SUMIFS('00 Compact View'!$K$6:$K$205,'00 Compact View'!$A$6:$A$205,A189,'00 Compact View'!$B$6:$B$205,"&gt;="&amp;B189-'03 Mind Knobs'!$B$16+1,'00 Compact View'!$B$6:$B$205,"&lt;="&amp;B189),SUMIFS('00 Compact View'!$L$6:$L$205,'00 Compact View'!$A$6:$A$205,A189,'00 Compact View'!$B$6:$B$205,"&gt;="&amp;B189-'03 Mind Knobs'!$B$16+1,'00 Compact View'!$B$6:$B$205,"&lt;="&amp;B189))&gt;=MAX(1,ROUNDUP('03 Mind Knobs'!$B$16*(1-'03 Mind Knobs'!$B$8),0)))</x:f>
        <x:v>0</x:v>
      </x:c>
      <x:c r="M189" t="n">
        <x:f>--(OR(I189=1,J189=1,K189=1,L189=1))</x:f>
        <x:v>1</x:v>
      </x:c>
    </x:row>
    <x:row r="190">
      <x:c r="A190" t="n">
        <x:f>'00 Compact View'!A190</x:f>
        <x:v>10</x:v>
      </x:c>
      <x:c r="B190" t="n">
        <x:f>'00 Compact View'!B190</x:f>
        <x:v>5</x:v>
      </x:c>
      <x:c r="C190" s="12" t="n">
        <x:f>SUM('00 Compact View'!H190:L190)/5</x:f>
        <x:v>1</x:v>
      </x:c>
      <x:c r="D190" s="12" t="n">
        <x:f>SUM('00 Compact View'!M190:Q190)/5</x:f>
        <x:v>0.4</x:v>
      </x:c>
      <x:c r="E190" s="12" t="n">
        <x:f>'00 Compact View'!R190</x:f>
        <x:v>1</x:v>
      </x:c>
      <x:c r="F190" s="12" t="n">
        <x:f>'00 Compact View'!T190</x:f>
        <x:v>1</x:v>
      </x:c>
      <x:c r="G190" s="12" t="n">
        <x:f>'04 Resource Body'!$B$10</x:f>
        <x:v>0</x:v>
      </x:c>
      <x:c r="H190" t="n">
        <x:f>--(M190=0)</x:f>
        <x:v>0</x:v>
      </x:c>
      <x:c r="I190" t="n">
        <x:f>--(MIN(1,C190+D190+(E190*'03 Mind Knobs'!$B$17)+(F190*'03 Mind Knobs'!$B$18)+('03 Mind Knobs'!$B$7*F190))&gt;=MAX(0.15,0.35+(G190*'03 Mind Knobs'!$B$10)-('03 Mind Knobs'!$B$13*0.15)))</x:f>
        <x:v>1</x:v>
      </x:c>
      <x:c r="J190" t="n">
        <x:f>--(MIN(1,C190+D190+(E190*'03 Mind Knobs'!$B$17)+(F190*'03 Mind Knobs'!$B$18)+('03 Mind Knobs'!$B$7*F190))&gt;=MIN(0.95,'03 Mind Knobs'!$B$19+(G190*'03 Mind Knobs'!$B$10)-('03 Mind Knobs'!$B$13*0.10)))</x:f>
        <x:v>1</x:v>
      </x:c>
      <x:c r="K190" t="n">
        <x:f>--(AND(J190=1,OR(E190=1,F190=1)))</x:f>
        <x:v>1</x:v>
      </x:c>
      <x:c r="L190" t="n">
        <x:f>--(MAX(SUMIFS('00 Compact View'!$H$6:$H$205,'00 Compact View'!$A$6:$A$205,A190,'00 Compact View'!$B$6:$B$205,"&gt;="&amp;B190-'03 Mind Knobs'!$B$16+1,'00 Compact View'!$B$6:$B$205,"&lt;="&amp;B190),SUMIFS('00 Compact View'!$I$6:$I$205,'00 Compact View'!$A$6:$A$205,A190,'00 Compact View'!$B$6:$B$205,"&gt;="&amp;B190-'03 Mind Knobs'!$B$16+1,'00 Compact View'!$B$6:$B$205,"&lt;="&amp;B190),SUMIFS('00 Compact View'!$J$6:$J$205,'00 Compact View'!$A$6:$A$205,A190,'00 Compact View'!$B$6:$B$205,"&gt;="&amp;B190-'03 Mind Knobs'!$B$16+1,'00 Compact View'!$B$6:$B$205,"&lt;="&amp;B190),SUMIFS('00 Compact View'!$K$6:$K$205,'00 Compact View'!$A$6:$A$205,A190,'00 Compact View'!$B$6:$B$205,"&gt;="&amp;B190-'03 Mind Knobs'!$B$16+1,'00 Compact View'!$B$6:$B$205,"&lt;="&amp;B190),SUMIFS('00 Compact View'!$L$6:$L$205,'00 Compact View'!$A$6:$A$205,A190,'00 Compact View'!$B$6:$B$205,"&gt;="&amp;B190-'03 Mind Knobs'!$B$16+1,'00 Compact View'!$B$6:$B$205,"&lt;="&amp;B190))&gt;=MAX(1,ROUNDUP('03 Mind Knobs'!$B$16*(1-'03 Mind Knobs'!$B$8),0)))</x:f>
        <x:v>0</x:v>
      </x:c>
      <x:c r="M190" t="n">
        <x:f>--(OR(I190=1,J190=1,K190=1,L190=1))</x:f>
        <x:v>1</x:v>
      </x:c>
    </x:row>
    <x:row r="191">
      <x:c r="A191" t="n">
        <x:f>'00 Compact View'!A191</x:f>
        <x:v>10</x:v>
      </x:c>
      <x:c r="B191" t="n">
        <x:f>'00 Compact View'!B191</x:f>
        <x:v>6</x:v>
      </x:c>
      <x:c r="C191" s="12" t="n">
        <x:f>SUM('00 Compact View'!H191:L191)/5</x:f>
        <x:v>0.6</x:v>
      </x:c>
      <x:c r="D191" s="12" t="n">
        <x:f>SUM('00 Compact View'!M191:Q191)/5</x:f>
        <x:v>0.4</x:v>
      </x:c>
      <x:c r="E191" s="12" t="n">
        <x:f>'00 Compact View'!R191</x:f>
        <x:v>1</x:v>
      </x:c>
      <x:c r="F191" s="12" t="n">
        <x:f>'00 Compact View'!T191</x:f>
        <x:v>0</x:v>
      </x:c>
      <x:c r="G191" s="12" t="n">
        <x:f>'04 Resource Body'!$B$10</x:f>
        <x:v>0</x:v>
      </x:c>
      <x:c r="H191" t="n">
        <x:f>--(M191=0)</x:f>
        <x:v>0</x:v>
      </x:c>
      <x:c r="I191" t="n">
        <x:f>--(MIN(1,C191+D191+(E191*'03 Mind Knobs'!$B$17)+(F191*'03 Mind Knobs'!$B$18)+('03 Mind Knobs'!$B$7*F191))&gt;=MAX(0.15,0.35+(G191*'03 Mind Knobs'!$B$10)-('03 Mind Knobs'!$B$13*0.15)))</x:f>
        <x:v>1</x:v>
      </x:c>
      <x:c r="J191" t="n">
        <x:f>--(MIN(1,C191+D191+(E191*'03 Mind Knobs'!$B$17)+(F191*'03 Mind Knobs'!$B$18)+('03 Mind Knobs'!$B$7*F191))&gt;=MIN(0.95,'03 Mind Knobs'!$B$19+(G191*'03 Mind Knobs'!$B$10)-('03 Mind Knobs'!$B$13*0.10)))</x:f>
        <x:v>1</x:v>
      </x:c>
      <x:c r="K191" t="n">
        <x:f>--(AND(J191=1,OR(E191=1,F191=1)))</x:f>
        <x:v>1</x:v>
      </x:c>
      <x:c r="L191" t="n">
        <x:f>--(MAX(SUMIFS('00 Compact View'!$H$6:$H$205,'00 Compact View'!$A$6:$A$205,A191,'00 Compact View'!$B$6:$B$205,"&gt;="&amp;B191-'03 Mind Knobs'!$B$16+1,'00 Compact View'!$B$6:$B$205,"&lt;="&amp;B191),SUMIFS('00 Compact View'!$I$6:$I$205,'00 Compact View'!$A$6:$A$205,A191,'00 Compact View'!$B$6:$B$205,"&gt;="&amp;B191-'03 Mind Knobs'!$B$16+1,'00 Compact View'!$B$6:$B$205,"&lt;="&amp;B191),SUMIFS('00 Compact View'!$J$6:$J$205,'00 Compact View'!$A$6:$A$205,A191,'00 Compact View'!$B$6:$B$205,"&gt;="&amp;B191-'03 Mind Knobs'!$B$16+1,'00 Compact View'!$B$6:$B$205,"&lt;="&amp;B191),SUMIFS('00 Compact View'!$K$6:$K$205,'00 Compact View'!$A$6:$A$205,A191,'00 Compact View'!$B$6:$B$205,"&gt;="&amp;B191-'03 Mind Knobs'!$B$16+1,'00 Compact View'!$B$6:$B$205,"&lt;="&amp;B191),SUMIFS('00 Compact View'!$L$6:$L$205,'00 Compact View'!$A$6:$A$205,A191,'00 Compact View'!$B$6:$B$205,"&gt;="&amp;B191-'03 Mind Knobs'!$B$16+1,'00 Compact View'!$B$6:$B$205,"&lt;="&amp;B191))&gt;=MAX(1,ROUNDUP('03 Mind Knobs'!$B$16*(1-'03 Mind Knobs'!$B$8),0)))</x:f>
        <x:v>0</x:v>
      </x:c>
      <x:c r="M191" t="n">
        <x:f>--(OR(I191=1,J191=1,K191=1,L191=1))</x:f>
        <x:v>1</x:v>
      </x:c>
    </x:row>
    <x:row r="192">
      <x:c r="A192" t="n">
        <x:f>'00 Compact View'!A192</x:f>
        <x:v>10</x:v>
      </x:c>
      <x:c r="B192" t="n">
        <x:f>'00 Compact View'!B192</x:f>
        <x:v>7</x:v>
      </x:c>
      <x:c r="C192" s="12" t="n">
        <x:f>SUM('00 Compact View'!H192:L192)/5</x:f>
        <x:v>0.4</x:v>
      </x:c>
      <x:c r="D192" s="12" t="n">
        <x:f>SUM('00 Compact View'!M192:Q192)/5</x:f>
        <x:v>1</x:v>
      </x:c>
      <x:c r="E192" s="12" t="n">
        <x:f>'00 Compact View'!R192</x:f>
        <x:v>1</x:v>
      </x:c>
      <x:c r="F192" s="12" t="n">
        <x:f>'00 Compact View'!T192</x:f>
        <x:v>1</x:v>
      </x:c>
      <x:c r="G192" s="12" t="n">
        <x:f>'04 Resource Body'!$B$10</x:f>
        <x:v>0</x:v>
      </x:c>
      <x:c r="H192" t="n">
        <x:f>--(M192=0)</x:f>
        <x:v>0</x:v>
      </x:c>
      <x:c r="I192" t="n">
        <x:f>--(MIN(1,C192+D192+(E192*'03 Mind Knobs'!$B$17)+(F192*'03 Mind Knobs'!$B$18)+('03 Mind Knobs'!$B$7*F192))&gt;=MAX(0.15,0.35+(G192*'03 Mind Knobs'!$B$10)-('03 Mind Knobs'!$B$13*0.15)))</x:f>
        <x:v>1</x:v>
      </x:c>
      <x:c r="J192" t="n">
        <x:f>--(MIN(1,C192+D192+(E192*'03 Mind Knobs'!$B$17)+(F192*'03 Mind Knobs'!$B$18)+('03 Mind Knobs'!$B$7*F192))&gt;=MIN(0.95,'03 Mind Knobs'!$B$19+(G192*'03 Mind Knobs'!$B$10)-('03 Mind Knobs'!$B$13*0.10)))</x:f>
        <x:v>1</x:v>
      </x:c>
      <x:c r="K192" t="n">
        <x:f>--(AND(J192=1,OR(E192=1,F192=1)))</x:f>
        <x:v>1</x:v>
      </x:c>
      <x:c r="L192" t="n">
        <x:f>--(MAX(SUMIFS('00 Compact View'!$H$6:$H$205,'00 Compact View'!$A$6:$A$205,A192,'00 Compact View'!$B$6:$B$205,"&gt;="&amp;B192-'03 Mind Knobs'!$B$16+1,'00 Compact View'!$B$6:$B$205,"&lt;="&amp;B192),SUMIFS('00 Compact View'!$I$6:$I$205,'00 Compact View'!$A$6:$A$205,A192,'00 Compact View'!$B$6:$B$205,"&gt;="&amp;B192-'03 Mind Knobs'!$B$16+1,'00 Compact View'!$B$6:$B$205,"&lt;="&amp;B192),SUMIFS('00 Compact View'!$J$6:$J$205,'00 Compact View'!$A$6:$A$205,A192,'00 Compact View'!$B$6:$B$205,"&gt;="&amp;B192-'03 Mind Knobs'!$B$16+1,'00 Compact View'!$B$6:$B$205,"&lt;="&amp;B192),SUMIFS('00 Compact View'!$K$6:$K$205,'00 Compact View'!$A$6:$A$205,A192,'00 Compact View'!$B$6:$B$205,"&gt;="&amp;B192-'03 Mind Knobs'!$B$16+1,'00 Compact View'!$B$6:$B$205,"&lt;="&amp;B192),SUMIFS('00 Compact View'!$L$6:$L$205,'00 Compact View'!$A$6:$A$205,A192,'00 Compact View'!$B$6:$B$205,"&gt;="&amp;B192-'03 Mind Knobs'!$B$16+1,'00 Compact View'!$B$6:$B$205,"&lt;="&amp;B192))&gt;=MAX(1,ROUNDUP('03 Mind Knobs'!$B$16*(1-'03 Mind Knobs'!$B$8),0)))</x:f>
        <x:v>0</x:v>
      </x:c>
      <x:c r="M192" t="n">
        <x:f>--(OR(I192=1,J192=1,K192=1,L192=1))</x:f>
        <x:v>1</x:v>
      </x:c>
    </x:row>
    <x:row r="193">
      <x:c r="A193" t="n">
        <x:f>'00 Compact View'!A193</x:f>
        <x:v>10</x:v>
      </x:c>
      <x:c r="B193" t="n">
        <x:f>'00 Compact View'!B193</x:f>
        <x:v>8</x:v>
      </x:c>
      <x:c r="C193" s="12" t="n">
        <x:f>SUM('00 Compact View'!H193:L193)/5</x:f>
        <x:v>0.6</x:v>
      </x:c>
      <x:c r="D193" s="12" t="n">
        <x:f>SUM('00 Compact View'!M193:Q193)/5</x:f>
        <x:v>1</x:v>
      </x:c>
      <x:c r="E193" s="12" t="n">
        <x:f>'00 Compact View'!R193</x:f>
        <x:v>1</x:v>
      </x:c>
      <x:c r="F193" s="12" t="n">
        <x:f>'00 Compact View'!T193</x:f>
        <x:v>0</x:v>
      </x:c>
      <x:c r="G193" s="12" t="n">
        <x:f>'04 Resource Body'!$B$10</x:f>
        <x:v>0</x:v>
      </x:c>
      <x:c r="H193" t="n">
        <x:f>--(M193=0)</x:f>
        <x:v>0</x:v>
      </x:c>
      <x:c r="I193" t="n">
        <x:f>--(MIN(1,C193+D193+(E193*'03 Mind Knobs'!$B$17)+(F193*'03 Mind Knobs'!$B$18)+('03 Mind Knobs'!$B$7*F193))&gt;=MAX(0.15,0.35+(G193*'03 Mind Knobs'!$B$10)-('03 Mind Knobs'!$B$13*0.15)))</x:f>
        <x:v>1</x:v>
      </x:c>
      <x:c r="J193" t="n">
        <x:f>--(MIN(1,C193+D193+(E193*'03 Mind Knobs'!$B$17)+(F193*'03 Mind Knobs'!$B$18)+('03 Mind Knobs'!$B$7*F193))&gt;=MIN(0.95,'03 Mind Knobs'!$B$19+(G193*'03 Mind Knobs'!$B$10)-('03 Mind Knobs'!$B$13*0.10)))</x:f>
        <x:v>1</x:v>
      </x:c>
      <x:c r="K193" t="n">
        <x:f>--(AND(J193=1,OR(E193=1,F193=1)))</x:f>
        <x:v>1</x:v>
      </x:c>
      <x:c r="L193" t="n">
        <x:f>--(MAX(SUMIFS('00 Compact View'!$H$6:$H$205,'00 Compact View'!$A$6:$A$205,A193,'00 Compact View'!$B$6:$B$205,"&gt;="&amp;B193-'03 Mind Knobs'!$B$16+1,'00 Compact View'!$B$6:$B$205,"&lt;="&amp;B193),SUMIFS('00 Compact View'!$I$6:$I$205,'00 Compact View'!$A$6:$A$205,A193,'00 Compact View'!$B$6:$B$205,"&gt;="&amp;B193-'03 Mind Knobs'!$B$16+1,'00 Compact View'!$B$6:$B$205,"&lt;="&amp;B193),SUMIFS('00 Compact View'!$J$6:$J$205,'00 Compact View'!$A$6:$A$205,A193,'00 Compact View'!$B$6:$B$205,"&gt;="&amp;B193-'03 Mind Knobs'!$B$16+1,'00 Compact View'!$B$6:$B$205,"&lt;="&amp;B193),SUMIFS('00 Compact View'!$K$6:$K$205,'00 Compact View'!$A$6:$A$205,A193,'00 Compact View'!$B$6:$B$205,"&gt;="&amp;B193-'03 Mind Knobs'!$B$16+1,'00 Compact View'!$B$6:$B$205,"&lt;="&amp;B193),SUMIFS('00 Compact View'!$L$6:$L$205,'00 Compact View'!$A$6:$A$205,A193,'00 Compact View'!$B$6:$B$205,"&gt;="&amp;B193-'03 Mind Knobs'!$B$16+1,'00 Compact View'!$B$6:$B$205,"&lt;="&amp;B193))&gt;=MAX(1,ROUNDUP('03 Mind Knobs'!$B$16*(1-'03 Mind Knobs'!$B$8),0)))</x:f>
        <x:v>1</x:v>
      </x:c>
      <x:c r="M193" t="n">
        <x:f>--(OR(I193=1,J193=1,K193=1,L193=1))</x:f>
        <x:v>1</x:v>
      </x:c>
    </x:row>
    <x:row r="194">
      <x:c r="A194" t="n">
        <x:f>'00 Compact View'!A194</x:f>
        <x:v>10</x:v>
      </x:c>
      <x:c r="B194" t="n">
        <x:f>'00 Compact View'!B194</x:f>
        <x:v>9</x:v>
      </x:c>
      <x:c r="C194" s="12" t="n">
        <x:f>SUM('00 Compact View'!H194:L194)/5</x:f>
        <x:v>0.4</x:v>
      </x:c>
      <x:c r="D194" s="12" t="n">
        <x:f>SUM('00 Compact View'!M194:Q194)/5</x:f>
        <x:v>1</x:v>
      </x:c>
      <x:c r="E194" s="12" t="n">
        <x:f>'00 Compact View'!R194</x:f>
        <x:v>1</x:v>
      </x:c>
      <x:c r="F194" s="12" t="n">
        <x:f>'00 Compact View'!T194</x:f>
        <x:v>0</x:v>
      </x:c>
      <x:c r="G194" s="12" t="n">
        <x:f>'04 Resource Body'!$B$10</x:f>
        <x:v>0</x:v>
      </x:c>
      <x:c r="H194" t="n">
        <x:f>--(M194=0)</x:f>
        <x:v>0</x:v>
      </x:c>
      <x:c r="I194" t="n">
        <x:f>--(MIN(1,C194+D194+(E194*'03 Mind Knobs'!$B$17)+(F194*'03 Mind Knobs'!$B$18)+('03 Mind Knobs'!$B$7*F194))&gt;=MAX(0.15,0.35+(G194*'03 Mind Knobs'!$B$10)-('03 Mind Knobs'!$B$13*0.15)))</x:f>
        <x:v>1</x:v>
      </x:c>
      <x:c r="J194" t="n">
        <x:f>--(MIN(1,C194+D194+(E194*'03 Mind Knobs'!$B$17)+(F194*'03 Mind Knobs'!$B$18)+('03 Mind Knobs'!$B$7*F194))&gt;=MIN(0.95,'03 Mind Knobs'!$B$19+(G194*'03 Mind Knobs'!$B$10)-('03 Mind Knobs'!$B$13*0.10)))</x:f>
        <x:v>1</x:v>
      </x:c>
      <x:c r="K194" t="n">
        <x:f>--(AND(J194=1,OR(E194=1,F194=1)))</x:f>
        <x:v>1</x:v>
      </x:c>
      <x:c r="L194" t="n">
        <x:f>--(MAX(SUMIFS('00 Compact View'!$H$6:$H$205,'00 Compact View'!$A$6:$A$205,A194,'00 Compact View'!$B$6:$B$205,"&gt;="&amp;B194-'03 Mind Knobs'!$B$16+1,'00 Compact View'!$B$6:$B$205,"&lt;="&amp;B194),SUMIFS('00 Compact View'!$I$6:$I$205,'00 Compact View'!$A$6:$A$205,A194,'00 Compact View'!$B$6:$B$205,"&gt;="&amp;B194-'03 Mind Knobs'!$B$16+1,'00 Compact View'!$B$6:$B$205,"&lt;="&amp;B194),SUMIFS('00 Compact View'!$J$6:$J$205,'00 Compact View'!$A$6:$A$205,A194,'00 Compact View'!$B$6:$B$205,"&gt;="&amp;B194-'03 Mind Knobs'!$B$16+1,'00 Compact View'!$B$6:$B$205,"&lt;="&amp;B194),SUMIFS('00 Compact View'!$K$6:$K$205,'00 Compact View'!$A$6:$A$205,A194,'00 Compact View'!$B$6:$B$205,"&gt;="&amp;B194-'03 Mind Knobs'!$B$16+1,'00 Compact View'!$B$6:$B$205,"&lt;="&amp;B194),SUMIFS('00 Compact View'!$L$6:$L$205,'00 Compact View'!$A$6:$A$205,A194,'00 Compact View'!$B$6:$B$205,"&gt;="&amp;B194-'03 Mind Knobs'!$B$16+1,'00 Compact View'!$B$6:$B$205,"&lt;="&amp;B194))&gt;=MAX(1,ROUNDUP('03 Mind Knobs'!$B$16*(1-'03 Mind Knobs'!$B$8),0)))</x:f>
        <x:v>1</x:v>
      </x:c>
      <x:c r="M194" t="n">
        <x:f>--(OR(I194=1,J194=1,K194=1,L194=1))</x:f>
        <x:v>1</x:v>
      </x:c>
    </x:row>
    <x:row r="195">
      <x:c r="A195" t="n">
        <x:f>'00 Compact View'!A195</x:f>
        <x:v>10</x:v>
      </x:c>
      <x:c r="B195" t="n">
        <x:f>'00 Compact View'!B195</x:f>
        <x:v>10</x:v>
      </x:c>
      <x:c r="C195" s="12" t="n">
        <x:f>SUM('00 Compact View'!H195:L195)/5</x:f>
        <x:v>1</x:v>
      </x:c>
      <x:c r="D195" s="12" t="n">
        <x:f>SUM('00 Compact View'!M195:Q195)/5</x:f>
        <x:v>0.6</x:v>
      </x:c>
      <x:c r="E195" s="12" t="n">
        <x:f>'00 Compact View'!R195</x:f>
        <x:v>1</x:v>
      </x:c>
      <x:c r="F195" s="12" t="n">
        <x:f>'00 Compact View'!T195</x:f>
        <x:v>1</x:v>
      </x:c>
      <x:c r="G195" s="12" t="n">
        <x:f>'04 Resource Body'!$B$10</x:f>
        <x:v>0</x:v>
      </x:c>
      <x:c r="H195" t="n">
        <x:f>--(M195=0)</x:f>
        <x:v>0</x:v>
      </x:c>
      <x:c r="I195" t="n">
        <x:f>--(MIN(1,C195+D195+(E195*'03 Mind Knobs'!$B$17)+(F195*'03 Mind Knobs'!$B$18)+('03 Mind Knobs'!$B$7*F195))&gt;=MAX(0.15,0.35+(G195*'03 Mind Knobs'!$B$10)-('03 Mind Knobs'!$B$13*0.15)))</x:f>
        <x:v>1</x:v>
      </x:c>
      <x:c r="J195" t="n">
        <x:f>--(MIN(1,C195+D195+(E195*'03 Mind Knobs'!$B$17)+(F195*'03 Mind Knobs'!$B$18)+('03 Mind Knobs'!$B$7*F195))&gt;=MIN(0.95,'03 Mind Knobs'!$B$19+(G195*'03 Mind Knobs'!$B$10)-('03 Mind Knobs'!$B$13*0.10)))</x:f>
        <x:v>1</x:v>
      </x:c>
      <x:c r="K195" t="n">
        <x:f>--(AND(J195=1,OR(E195=1,F195=1)))</x:f>
        <x:v>1</x:v>
      </x:c>
      <x:c r="L195" t="n">
        <x:f>--(MAX(SUMIFS('00 Compact View'!$H$6:$H$205,'00 Compact View'!$A$6:$A$205,A195,'00 Compact View'!$B$6:$B$205,"&gt;="&amp;B195-'03 Mind Knobs'!$B$16+1,'00 Compact View'!$B$6:$B$205,"&lt;="&amp;B195),SUMIFS('00 Compact View'!$I$6:$I$205,'00 Compact View'!$A$6:$A$205,A195,'00 Compact View'!$B$6:$B$205,"&gt;="&amp;B195-'03 Mind Knobs'!$B$16+1,'00 Compact View'!$B$6:$B$205,"&lt;="&amp;B195),SUMIFS('00 Compact View'!$J$6:$J$205,'00 Compact View'!$A$6:$A$205,A195,'00 Compact View'!$B$6:$B$205,"&gt;="&amp;B195-'03 Mind Knobs'!$B$16+1,'00 Compact View'!$B$6:$B$205,"&lt;="&amp;B195),SUMIFS('00 Compact View'!$K$6:$K$205,'00 Compact View'!$A$6:$A$205,A195,'00 Compact View'!$B$6:$B$205,"&gt;="&amp;B195-'03 Mind Knobs'!$B$16+1,'00 Compact View'!$B$6:$B$205,"&lt;="&amp;B195),SUMIFS('00 Compact View'!$L$6:$L$205,'00 Compact View'!$A$6:$A$205,A195,'00 Compact View'!$B$6:$B$205,"&gt;="&amp;B195-'03 Mind Knobs'!$B$16+1,'00 Compact View'!$B$6:$B$205,"&lt;="&amp;B195))&gt;=MAX(1,ROUNDUP('03 Mind Knobs'!$B$16*(1-'03 Mind Knobs'!$B$8),0)))</x:f>
        <x:v>1</x:v>
      </x:c>
      <x:c r="M195" t="n">
        <x:f>--(OR(I195=1,J195=1,K195=1,L195=1))</x:f>
        <x:v>1</x:v>
      </x:c>
    </x:row>
    <x:row r="196">
      <x:c r="A196" t="n">
        <x:f>'00 Compact View'!A196</x:f>
        <x:v>10</x:v>
      </x:c>
      <x:c r="B196" t="n">
        <x:f>'00 Compact View'!B196</x:f>
        <x:v>11</x:v>
      </x:c>
      <x:c r="C196" s="12" t="n">
        <x:f>SUM('00 Compact View'!H196:L196)/5</x:f>
        <x:v>0.4</x:v>
      </x:c>
      <x:c r="D196" s="12" t="n">
        <x:f>SUM('00 Compact View'!M196:Q196)/5</x:f>
        <x:v>0.6</x:v>
      </x:c>
      <x:c r="E196" s="12" t="n">
        <x:f>'00 Compact View'!R196</x:f>
        <x:v>1</x:v>
      </x:c>
      <x:c r="F196" s="12" t="n">
        <x:f>'00 Compact View'!T196</x:f>
        <x:v>0</x:v>
      </x:c>
      <x:c r="G196" s="12" t="n">
        <x:f>'04 Resource Body'!$B$10</x:f>
        <x:v>0</x:v>
      </x:c>
      <x:c r="H196" t="n">
        <x:f>--(M196=0)</x:f>
        <x:v>0</x:v>
      </x:c>
      <x:c r="I196" t="n">
        <x:f>--(MIN(1,C196+D196+(E196*'03 Mind Knobs'!$B$17)+(F196*'03 Mind Knobs'!$B$18)+('03 Mind Knobs'!$B$7*F196))&gt;=MAX(0.15,0.35+(G196*'03 Mind Knobs'!$B$10)-('03 Mind Knobs'!$B$13*0.15)))</x:f>
        <x:v>1</x:v>
      </x:c>
      <x:c r="J196" t="n">
        <x:f>--(MIN(1,C196+D196+(E196*'03 Mind Knobs'!$B$17)+(F196*'03 Mind Knobs'!$B$18)+('03 Mind Knobs'!$B$7*F196))&gt;=MIN(0.95,'03 Mind Knobs'!$B$19+(G196*'03 Mind Knobs'!$B$10)-('03 Mind Knobs'!$B$13*0.10)))</x:f>
        <x:v>1</x:v>
      </x:c>
      <x:c r="K196" t="n">
        <x:f>--(AND(J196=1,OR(E196=1,F196=1)))</x:f>
        <x:v>1</x:v>
      </x:c>
      <x:c r="L196" t="n">
        <x:f>--(MAX(SUMIFS('00 Compact View'!$H$6:$H$205,'00 Compact View'!$A$6:$A$205,A196,'00 Compact View'!$B$6:$B$205,"&gt;="&amp;B196-'03 Mind Knobs'!$B$16+1,'00 Compact View'!$B$6:$B$205,"&lt;="&amp;B196),SUMIFS('00 Compact View'!$I$6:$I$205,'00 Compact View'!$A$6:$A$205,A196,'00 Compact View'!$B$6:$B$205,"&gt;="&amp;B196-'03 Mind Knobs'!$B$16+1,'00 Compact View'!$B$6:$B$205,"&lt;="&amp;B196),SUMIFS('00 Compact View'!$J$6:$J$205,'00 Compact View'!$A$6:$A$205,A196,'00 Compact View'!$B$6:$B$205,"&gt;="&amp;B196-'03 Mind Knobs'!$B$16+1,'00 Compact View'!$B$6:$B$205,"&lt;="&amp;B196),SUMIFS('00 Compact View'!$K$6:$K$205,'00 Compact View'!$A$6:$A$205,A196,'00 Compact View'!$B$6:$B$205,"&gt;="&amp;B196-'03 Mind Knobs'!$B$16+1,'00 Compact View'!$B$6:$B$205,"&lt;="&amp;B196),SUMIFS('00 Compact View'!$L$6:$L$205,'00 Compact View'!$A$6:$A$205,A196,'00 Compact View'!$B$6:$B$205,"&gt;="&amp;B196-'03 Mind Knobs'!$B$16+1,'00 Compact View'!$B$6:$B$205,"&lt;="&amp;B196))&gt;=MAX(1,ROUNDUP('03 Mind Knobs'!$B$16*(1-'03 Mind Knobs'!$B$8),0)))</x:f>
        <x:v>1</x:v>
      </x:c>
      <x:c r="M196" t="n">
        <x:f>--(OR(I196=1,J196=1,K196=1,L196=1))</x:f>
        <x:v>1</x:v>
      </x:c>
    </x:row>
    <x:row r="197">
      <x:c r="A197" t="n">
        <x:f>'00 Compact View'!A197</x:f>
        <x:v>10</x:v>
      </x:c>
      <x:c r="B197" t="n">
        <x:f>'00 Compact View'!B197</x:f>
        <x:v>12</x:v>
      </x:c>
      <x:c r="C197" s="12" t="n">
        <x:f>SUM('00 Compact View'!H197:L197)/5</x:f>
        <x:v>0.6</x:v>
      </x:c>
      <x:c r="D197" s="12" t="n">
        <x:f>SUM('00 Compact View'!M197:Q197)/5</x:f>
        <x:v>1</x:v>
      </x:c>
      <x:c r="E197" s="12" t="n">
        <x:f>'00 Compact View'!R197</x:f>
        <x:v>1</x:v>
      </x:c>
      <x:c r="F197" s="12" t="n">
        <x:f>'00 Compact View'!T197</x:f>
        <x:v>1</x:v>
      </x:c>
      <x:c r="G197" s="12" t="n">
        <x:f>'04 Resource Body'!$B$10</x:f>
        <x:v>0</x:v>
      </x:c>
      <x:c r="H197" t="n">
        <x:f>--(M197=0)</x:f>
        <x:v>0</x:v>
      </x:c>
      <x:c r="I197" t="n">
        <x:f>--(MIN(1,C197+D197+(E197*'03 Mind Knobs'!$B$17)+(F197*'03 Mind Knobs'!$B$18)+('03 Mind Knobs'!$B$7*F197))&gt;=MAX(0.15,0.35+(G197*'03 Mind Knobs'!$B$10)-('03 Mind Knobs'!$B$13*0.15)))</x:f>
        <x:v>1</x:v>
      </x:c>
      <x:c r="J197" t="n">
        <x:f>--(MIN(1,C197+D197+(E197*'03 Mind Knobs'!$B$17)+(F197*'03 Mind Knobs'!$B$18)+('03 Mind Knobs'!$B$7*F197))&gt;=MIN(0.95,'03 Mind Knobs'!$B$19+(G197*'03 Mind Knobs'!$B$10)-('03 Mind Knobs'!$B$13*0.10)))</x:f>
        <x:v>1</x:v>
      </x:c>
      <x:c r="K197" t="n">
        <x:f>--(AND(J197=1,OR(E197=1,F197=1)))</x:f>
        <x:v>1</x:v>
      </x:c>
      <x:c r="L197" t="n">
        <x:f>--(MAX(SUMIFS('00 Compact View'!$H$6:$H$205,'00 Compact View'!$A$6:$A$205,A197,'00 Compact View'!$B$6:$B$205,"&gt;="&amp;B197-'03 Mind Knobs'!$B$16+1,'00 Compact View'!$B$6:$B$205,"&lt;="&amp;B197),SUMIFS('00 Compact View'!$I$6:$I$205,'00 Compact View'!$A$6:$A$205,A197,'00 Compact View'!$B$6:$B$205,"&gt;="&amp;B197-'03 Mind Knobs'!$B$16+1,'00 Compact View'!$B$6:$B$205,"&lt;="&amp;B197),SUMIFS('00 Compact View'!$J$6:$J$205,'00 Compact View'!$A$6:$A$205,A197,'00 Compact View'!$B$6:$B$205,"&gt;="&amp;B197-'03 Mind Knobs'!$B$16+1,'00 Compact View'!$B$6:$B$205,"&lt;="&amp;B197),SUMIFS('00 Compact View'!$K$6:$K$205,'00 Compact View'!$A$6:$A$205,A197,'00 Compact View'!$B$6:$B$205,"&gt;="&amp;B197-'03 Mind Knobs'!$B$16+1,'00 Compact View'!$B$6:$B$205,"&lt;="&amp;B197),SUMIFS('00 Compact View'!$L$6:$L$205,'00 Compact View'!$A$6:$A$205,A197,'00 Compact View'!$B$6:$B$205,"&gt;="&amp;B197-'03 Mind Knobs'!$B$16+1,'00 Compact View'!$B$6:$B$205,"&lt;="&amp;B197))&gt;=MAX(1,ROUNDUP('03 Mind Knobs'!$B$16*(1-'03 Mind Knobs'!$B$8),0)))</x:f>
        <x:v>1</x:v>
      </x:c>
      <x:c r="M197" t="n">
        <x:f>--(OR(I197=1,J197=1,K197=1,L197=1))</x:f>
        <x:v>1</x:v>
      </x:c>
    </x:row>
    <x:row r="198">
      <x:c r="A198" t="n">
        <x:f>'00 Compact View'!A198</x:f>
        <x:v>10</x:v>
      </x:c>
      <x:c r="B198" t="n">
        <x:f>'00 Compact View'!B198</x:f>
        <x:v>13</x:v>
      </x:c>
      <x:c r="C198" s="12" t="n">
        <x:f>SUM('00 Compact View'!H198:L198)/5</x:f>
        <x:v>0.4</x:v>
      </x:c>
      <x:c r="D198" s="12" t="n">
        <x:f>SUM('00 Compact View'!M198:Q198)/5</x:f>
        <x:v>1</x:v>
      </x:c>
      <x:c r="E198" s="12" t="n">
        <x:f>'00 Compact View'!R198</x:f>
        <x:v>1</x:v>
      </x:c>
      <x:c r="F198" s="12" t="n">
        <x:f>'00 Compact View'!T198</x:f>
        <x:v>0</x:v>
      </x:c>
      <x:c r="G198" s="12" t="n">
        <x:f>'04 Resource Body'!$B$10</x:f>
        <x:v>0</x:v>
      </x:c>
      <x:c r="H198" t="n">
        <x:f>--(M198=0)</x:f>
        <x:v>0</x:v>
      </x:c>
      <x:c r="I198" t="n">
        <x:f>--(MIN(1,C198+D198+(E198*'03 Mind Knobs'!$B$17)+(F198*'03 Mind Knobs'!$B$18)+('03 Mind Knobs'!$B$7*F198))&gt;=MAX(0.15,0.35+(G198*'03 Mind Knobs'!$B$10)-('03 Mind Knobs'!$B$13*0.15)))</x:f>
        <x:v>1</x:v>
      </x:c>
      <x:c r="J198" t="n">
        <x:f>--(MIN(1,C198+D198+(E198*'03 Mind Knobs'!$B$17)+(F198*'03 Mind Knobs'!$B$18)+('03 Mind Knobs'!$B$7*F198))&gt;=MIN(0.95,'03 Mind Knobs'!$B$19+(G198*'03 Mind Knobs'!$B$10)-('03 Mind Knobs'!$B$13*0.10)))</x:f>
        <x:v>1</x:v>
      </x:c>
      <x:c r="K198" t="n">
        <x:f>--(AND(J198=1,OR(E198=1,F198=1)))</x:f>
        <x:v>1</x:v>
      </x:c>
      <x:c r="L198" t="n">
        <x:f>--(MAX(SUMIFS('00 Compact View'!$H$6:$H$205,'00 Compact View'!$A$6:$A$205,A198,'00 Compact View'!$B$6:$B$205,"&gt;="&amp;B198-'03 Mind Knobs'!$B$16+1,'00 Compact View'!$B$6:$B$205,"&lt;="&amp;B198),SUMIFS('00 Compact View'!$I$6:$I$205,'00 Compact View'!$A$6:$A$205,A198,'00 Compact View'!$B$6:$B$205,"&gt;="&amp;B198-'03 Mind Knobs'!$B$16+1,'00 Compact View'!$B$6:$B$205,"&lt;="&amp;B198),SUMIFS('00 Compact View'!$J$6:$J$205,'00 Compact View'!$A$6:$A$205,A198,'00 Compact View'!$B$6:$B$205,"&gt;="&amp;B198-'03 Mind Knobs'!$B$16+1,'00 Compact View'!$B$6:$B$205,"&lt;="&amp;B198),SUMIFS('00 Compact View'!$K$6:$K$205,'00 Compact View'!$A$6:$A$205,A198,'00 Compact View'!$B$6:$B$205,"&gt;="&amp;B198-'03 Mind Knobs'!$B$16+1,'00 Compact View'!$B$6:$B$205,"&lt;="&amp;B198),SUMIFS('00 Compact View'!$L$6:$L$205,'00 Compact View'!$A$6:$A$205,A198,'00 Compact View'!$B$6:$B$205,"&gt;="&amp;B198-'03 Mind Knobs'!$B$16+1,'00 Compact View'!$B$6:$B$205,"&lt;="&amp;B198))&gt;=MAX(1,ROUNDUP('03 Mind Knobs'!$B$16*(1-'03 Mind Knobs'!$B$8),0)))</x:f>
        <x:v>1</x:v>
      </x:c>
      <x:c r="M198" t="n">
        <x:f>--(OR(I198=1,J198=1,K198=1,L198=1))</x:f>
        <x:v>1</x:v>
      </x:c>
    </x:row>
    <x:row r="199">
      <x:c r="A199" t="n">
        <x:f>'00 Compact View'!A199</x:f>
        <x:v>10</x:v>
      </x:c>
      <x:c r="B199" t="n">
        <x:f>'00 Compact View'!B199</x:f>
        <x:v>14</x:v>
      </x:c>
      <x:c r="C199" s="12" t="n">
        <x:f>SUM('00 Compact View'!H199:L199)/5</x:f>
        <x:v>0.6</x:v>
      </x:c>
      <x:c r="D199" s="12" t="n">
        <x:f>SUM('00 Compact View'!M199:Q199)/5</x:f>
        <x:v>1</x:v>
      </x:c>
      <x:c r="E199" s="12" t="n">
        <x:f>'00 Compact View'!R199</x:f>
        <x:v>1</x:v>
      </x:c>
      <x:c r="F199" s="12" t="n">
        <x:f>'00 Compact View'!T199</x:f>
        <x:v>0</x:v>
      </x:c>
      <x:c r="G199" s="12" t="n">
        <x:f>'04 Resource Body'!$B$10</x:f>
        <x:v>0</x:v>
      </x:c>
      <x:c r="H199" t="n">
        <x:f>--(M199=0)</x:f>
        <x:v>0</x:v>
      </x:c>
      <x:c r="I199" t="n">
        <x:f>--(MIN(1,C199+D199+(E199*'03 Mind Knobs'!$B$17)+(F199*'03 Mind Knobs'!$B$18)+('03 Mind Knobs'!$B$7*F199))&gt;=MAX(0.15,0.35+(G199*'03 Mind Knobs'!$B$10)-('03 Mind Knobs'!$B$13*0.15)))</x:f>
        <x:v>1</x:v>
      </x:c>
      <x:c r="J199" t="n">
        <x:f>--(MIN(1,C199+D199+(E199*'03 Mind Knobs'!$B$17)+(F199*'03 Mind Knobs'!$B$18)+('03 Mind Knobs'!$B$7*F199))&gt;=MIN(0.95,'03 Mind Knobs'!$B$19+(G199*'03 Mind Knobs'!$B$10)-('03 Mind Knobs'!$B$13*0.10)))</x:f>
        <x:v>1</x:v>
      </x:c>
      <x:c r="K199" t="n">
        <x:f>--(AND(J199=1,OR(E199=1,F199=1)))</x:f>
        <x:v>1</x:v>
      </x:c>
      <x:c r="L199" t="n">
        <x:f>--(MAX(SUMIFS('00 Compact View'!$H$6:$H$205,'00 Compact View'!$A$6:$A$205,A199,'00 Compact View'!$B$6:$B$205,"&gt;="&amp;B199-'03 Mind Knobs'!$B$16+1,'00 Compact View'!$B$6:$B$205,"&lt;="&amp;B199),SUMIFS('00 Compact View'!$I$6:$I$205,'00 Compact View'!$A$6:$A$205,A199,'00 Compact View'!$B$6:$B$205,"&gt;="&amp;B199-'03 Mind Knobs'!$B$16+1,'00 Compact View'!$B$6:$B$205,"&lt;="&amp;B199),SUMIFS('00 Compact View'!$J$6:$J$205,'00 Compact View'!$A$6:$A$205,A199,'00 Compact View'!$B$6:$B$205,"&gt;="&amp;B199-'03 Mind Knobs'!$B$16+1,'00 Compact View'!$B$6:$B$205,"&lt;="&amp;B199),SUMIFS('00 Compact View'!$K$6:$K$205,'00 Compact View'!$A$6:$A$205,A199,'00 Compact View'!$B$6:$B$205,"&gt;="&amp;B199-'03 Mind Knobs'!$B$16+1,'00 Compact View'!$B$6:$B$205,"&lt;="&amp;B199),SUMIFS('00 Compact View'!$L$6:$L$205,'00 Compact View'!$A$6:$A$205,A199,'00 Compact View'!$B$6:$B$205,"&gt;="&amp;B199-'03 Mind Knobs'!$B$16+1,'00 Compact View'!$B$6:$B$205,"&lt;="&amp;B199))&gt;=MAX(1,ROUNDUP('03 Mind Knobs'!$B$16*(1-'03 Mind Knobs'!$B$8),0)))</x:f>
        <x:v>1</x:v>
      </x:c>
      <x:c r="M199" t="n">
        <x:f>--(OR(I199=1,J199=1,K199=1,L199=1))</x:f>
        <x:v>1</x:v>
      </x:c>
    </x:row>
    <x:row r="200">
      <x:c r="A200" t="n">
        <x:f>'00 Compact View'!A200</x:f>
        <x:v>10</x:v>
      </x:c>
      <x:c r="B200" t="n">
        <x:f>'00 Compact View'!B200</x:f>
        <x:v>15</x:v>
      </x:c>
      <x:c r="C200" s="12" t="n">
        <x:f>SUM('00 Compact View'!H200:L200)/5</x:f>
        <x:v>1</x:v>
      </x:c>
      <x:c r="D200" s="12" t="n">
        <x:f>SUM('00 Compact View'!M200:Q200)/5</x:f>
        <x:v>0.4</x:v>
      </x:c>
      <x:c r="E200" s="12" t="n">
        <x:f>'00 Compact View'!R200</x:f>
        <x:v>1</x:v>
      </x:c>
      <x:c r="F200" s="12" t="n">
        <x:f>'00 Compact View'!T200</x:f>
        <x:v>1</x:v>
      </x:c>
      <x:c r="G200" s="12" t="n">
        <x:f>'04 Resource Body'!$B$10</x:f>
        <x:v>0</x:v>
      </x:c>
      <x:c r="H200" t="n">
        <x:f>--(M200=0)</x:f>
        <x:v>0</x:v>
      </x:c>
      <x:c r="I200" t="n">
        <x:f>--(MIN(1,C200+D200+(E200*'03 Mind Knobs'!$B$17)+(F200*'03 Mind Knobs'!$B$18)+('03 Mind Knobs'!$B$7*F200))&gt;=MAX(0.15,0.35+(G200*'03 Mind Knobs'!$B$10)-('03 Mind Knobs'!$B$13*0.15)))</x:f>
        <x:v>1</x:v>
      </x:c>
      <x:c r="J200" t="n">
        <x:f>--(MIN(1,C200+D200+(E200*'03 Mind Knobs'!$B$17)+(F200*'03 Mind Knobs'!$B$18)+('03 Mind Knobs'!$B$7*F200))&gt;=MIN(0.95,'03 Mind Knobs'!$B$19+(G200*'03 Mind Knobs'!$B$10)-('03 Mind Knobs'!$B$13*0.10)))</x:f>
        <x:v>1</x:v>
      </x:c>
      <x:c r="K200" t="n">
        <x:f>--(AND(J200=1,OR(E200=1,F200=1)))</x:f>
        <x:v>1</x:v>
      </x:c>
      <x:c r="L200" t="n">
        <x:f>--(MAX(SUMIFS('00 Compact View'!$H$6:$H$205,'00 Compact View'!$A$6:$A$205,A200,'00 Compact View'!$B$6:$B$205,"&gt;="&amp;B200-'03 Mind Knobs'!$B$16+1,'00 Compact View'!$B$6:$B$205,"&lt;="&amp;B200),SUMIFS('00 Compact View'!$I$6:$I$205,'00 Compact View'!$A$6:$A$205,A200,'00 Compact View'!$B$6:$B$205,"&gt;="&amp;B200-'03 Mind Knobs'!$B$16+1,'00 Compact View'!$B$6:$B$205,"&lt;="&amp;B200),SUMIFS('00 Compact View'!$J$6:$J$205,'00 Compact View'!$A$6:$A$205,A200,'00 Compact View'!$B$6:$B$205,"&gt;="&amp;B200-'03 Mind Knobs'!$B$16+1,'00 Compact View'!$B$6:$B$205,"&lt;="&amp;B200),SUMIFS('00 Compact View'!$K$6:$K$205,'00 Compact View'!$A$6:$A$205,A200,'00 Compact View'!$B$6:$B$205,"&gt;="&amp;B200-'03 Mind Knobs'!$B$16+1,'00 Compact View'!$B$6:$B$205,"&lt;="&amp;B200),SUMIFS('00 Compact View'!$L$6:$L$205,'00 Compact View'!$A$6:$A$205,A200,'00 Compact View'!$B$6:$B$205,"&gt;="&amp;B200-'03 Mind Knobs'!$B$16+1,'00 Compact View'!$B$6:$B$205,"&lt;="&amp;B200))&gt;=MAX(1,ROUNDUP('03 Mind Knobs'!$B$16*(1-'03 Mind Knobs'!$B$8),0)))</x:f>
        <x:v>1</x:v>
      </x:c>
      <x:c r="M200" t="n">
        <x:f>--(OR(I200=1,J200=1,K200=1,L200=1))</x:f>
        <x:v>1</x:v>
      </x:c>
    </x:row>
    <x:row r="201">
      <x:c r="A201" t="n">
        <x:f>'00 Compact View'!A201</x:f>
        <x:v>10</x:v>
      </x:c>
      <x:c r="B201" t="n">
        <x:f>'00 Compact View'!B201</x:f>
        <x:v>16</x:v>
      </x:c>
      <x:c r="C201" s="12" t="n">
        <x:f>SUM('00 Compact View'!H201:L201)/5</x:f>
        <x:v>0.6</x:v>
      </x:c>
      <x:c r="D201" s="12" t="n">
        <x:f>SUM('00 Compact View'!M201:Q201)/5</x:f>
        <x:v>0.4</x:v>
      </x:c>
      <x:c r="E201" s="12" t="n">
        <x:f>'00 Compact View'!R201</x:f>
        <x:v>1</x:v>
      </x:c>
      <x:c r="F201" s="12" t="n">
        <x:f>'00 Compact View'!T201</x:f>
        <x:v>0</x:v>
      </x:c>
      <x:c r="G201" s="12" t="n">
        <x:f>'04 Resource Body'!$B$10</x:f>
        <x:v>0</x:v>
      </x:c>
      <x:c r="H201" t="n">
        <x:f>--(M201=0)</x:f>
        <x:v>0</x:v>
      </x:c>
      <x:c r="I201" t="n">
        <x:f>--(MIN(1,C201+D201+(E201*'03 Mind Knobs'!$B$17)+(F201*'03 Mind Knobs'!$B$18)+('03 Mind Knobs'!$B$7*F201))&gt;=MAX(0.15,0.35+(G201*'03 Mind Knobs'!$B$10)-('03 Mind Knobs'!$B$13*0.15)))</x:f>
        <x:v>1</x:v>
      </x:c>
      <x:c r="J201" t="n">
        <x:f>--(MIN(1,C201+D201+(E201*'03 Mind Knobs'!$B$17)+(F201*'03 Mind Knobs'!$B$18)+('03 Mind Knobs'!$B$7*F201))&gt;=MIN(0.95,'03 Mind Knobs'!$B$19+(G201*'03 Mind Knobs'!$B$10)-('03 Mind Knobs'!$B$13*0.10)))</x:f>
        <x:v>1</x:v>
      </x:c>
      <x:c r="K201" t="n">
        <x:f>--(AND(J201=1,OR(E201=1,F201=1)))</x:f>
        <x:v>1</x:v>
      </x:c>
      <x:c r="L201" t="n">
        <x:f>--(MAX(SUMIFS('00 Compact View'!$H$6:$H$205,'00 Compact View'!$A$6:$A$205,A201,'00 Compact View'!$B$6:$B$205,"&gt;="&amp;B201-'03 Mind Knobs'!$B$16+1,'00 Compact View'!$B$6:$B$205,"&lt;="&amp;B201),SUMIFS('00 Compact View'!$I$6:$I$205,'00 Compact View'!$A$6:$A$205,A201,'00 Compact View'!$B$6:$B$205,"&gt;="&amp;B201-'03 Mind Knobs'!$B$16+1,'00 Compact View'!$B$6:$B$205,"&lt;="&amp;B201),SUMIFS('00 Compact View'!$J$6:$J$205,'00 Compact View'!$A$6:$A$205,A201,'00 Compact View'!$B$6:$B$205,"&gt;="&amp;B201-'03 Mind Knobs'!$B$16+1,'00 Compact View'!$B$6:$B$205,"&lt;="&amp;B201),SUMIFS('00 Compact View'!$K$6:$K$205,'00 Compact View'!$A$6:$A$205,A201,'00 Compact View'!$B$6:$B$205,"&gt;="&amp;B201-'03 Mind Knobs'!$B$16+1,'00 Compact View'!$B$6:$B$205,"&lt;="&amp;B201),SUMIFS('00 Compact View'!$L$6:$L$205,'00 Compact View'!$A$6:$A$205,A201,'00 Compact View'!$B$6:$B$205,"&gt;="&amp;B201-'03 Mind Knobs'!$B$16+1,'00 Compact View'!$B$6:$B$205,"&lt;="&amp;B201))&gt;=MAX(1,ROUNDUP('03 Mind Knobs'!$B$16*(1-'03 Mind Knobs'!$B$8),0)))</x:f>
        <x:v>1</x:v>
      </x:c>
      <x:c r="M201" t="n">
        <x:f>--(OR(I201=1,J201=1,K201=1,L201=1))</x:f>
        <x:v>1</x:v>
      </x:c>
    </x:row>
    <x:row r="202">
      <x:c r="A202" t="n">
        <x:f>'00 Compact View'!A202</x:f>
        <x:v>10</x:v>
      </x:c>
      <x:c r="B202" t="n">
        <x:f>'00 Compact View'!B202</x:f>
        <x:v>17</x:v>
      </x:c>
      <x:c r="C202" s="12" t="n">
        <x:f>SUM('00 Compact View'!H202:L202)/5</x:f>
        <x:v>0.4</x:v>
      </x:c>
      <x:c r="D202" s="12" t="n">
        <x:f>SUM('00 Compact View'!M202:Q202)/5</x:f>
        <x:v>1</x:v>
      </x:c>
      <x:c r="E202" s="12" t="n">
        <x:f>'00 Compact View'!R202</x:f>
        <x:v>1</x:v>
      </x:c>
      <x:c r="F202" s="12" t="n">
        <x:f>'00 Compact View'!T202</x:f>
        <x:v>1</x:v>
      </x:c>
      <x:c r="G202" s="12" t="n">
        <x:f>'04 Resource Body'!$B$10</x:f>
        <x:v>0</x:v>
      </x:c>
      <x:c r="H202" t="n">
        <x:f>--(M202=0)</x:f>
        <x:v>0</x:v>
      </x:c>
      <x:c r="I202" t="n">
        <x:f>--(MIN(1,C202+D202+(E202*'03 Mind Knobs'!$B$17)+(F202*'03 Mind Knobs'!$B$18)+('03 Mind Knobs'!$B$7*F202))&gt;=MAX(0.15,0.35+(G202*'03 Mind Knobs'!$B$10)-('03 Mind Knobs'!$B$13*0.15)))</x:f>
        <x:v>1</x:v>
      </x:c>
      <x:c r="J202" t="n">
        <x:f>--(MIN(1,C202+D202+(E202*'03 Mind Knobs'!$B$17)+(F202*'03 Mind Knobs'!$B$18)+('03 Mind Knobs'!$B$7*F202))&gt;=MIN(0.95,'03 Mind Knobs'!$B$19+(G202*'03 Mind Knobs'!$B$10)-('03 Mind Knobs'!$B$13*0.10)))</x:f>
        <x:v>1</x:v>
      </x:c>
      <x:c r="K202" t="n">
        <x:f>--(AND(J202=1,OR(E202=1,F202=1)))</x:f>
        <x:v>1</x:v>
      </x:c>
      <x:c r="L202" t="n">
        <x:f>--(MAX(SUMIFS('00 Compact View'!$H$6:$H$205,'00 Compact View'!$A$6:$A$205,A202,'00 Compact View'!$B$6:$B$205,"&gt;="&amp;B202-'03 Mind Knobs'!$B$16+1,'00 Compact View'!$B$6:$B$205,"&lt;="&amp;B202),SUMIFS('00 Compact View'!$I$6:$I$205,'00 Compact View'!$A$6:$A$205,A202,'00 Compact View'!$B$6:$B$205,"&gt;="&amp;B202-'03 Mind Knobs'!$B$16+1,'00 Compact View'!$B$6:$B$205,"&lt;="&amp;B202),SUMIFS('00 Compact View'!$J$6:$J$205,'00 Compact View'!$A$6:$A$205,A202,'00 Compact View'!$B$6:$B$205,"&gt;="&amp;B202-'03 Mind Knobs'!$B$16+1,'00 Compact View'!$B$6:$B$205,"&lt;="&amp;B202),SUMIFS('00 Compact View'!$K$6:$K$205,'00 Compact View'!$A$6:$A$205,A202,'00 Compact View'!$B$6:$B$205,"&gt;="&amp;B202-'03 Mind Knobs'!$B$16+1,'00 Compact View'!$B$6:$B$205,"&lt;="&amp;B202),SUMIFS('00 Compact View'!$L$6:$L$205,'00 Compact View'!$A$6:$A$205,A202,'00 Compact View'!$B$6:$B$205,"&gt;="&amp;B202-'03 Mind Knobs'!$B$16+1,'00 Compact View'!$B$6:$B$205,"&lt;="&amp;B202))&gt;=MAX(1,ROUNDUP('03 Mind Knobs'!$B$16*(1-'03 Mind Knobs'!$B$8),0)))</x:f>
        <x:v>1</x:v>
      </x:c>
      <x:c r="M202" t="n">
        <x:f>--(OR(I202=1,J202=1,K202=1,L202=1))</x:f>
        <x:v>1</x:v>
      </x:c>
    </x:row>
    <x:row r="203">
      <x:c r="A203" t="n">
        <x:f>'00 Compact View'!A203</x:f>
        <x:v>10</x:v>
      </x:c>
      <x:c r="B203" t="n">
        <x:f>'00 Compact View'!B203</x:f>
        <x:v>18</x:v>
      </x:c>
      <x:c r="C203" s="12" t="n">
        <x:f>SUM('00 Compact View'!H203:L203)/5</x:f>
        <x:v>0.6</x:v>
      </x:c>
      <x:c r="D203" s="12" t="n">
        <x:f>SUM('00 Compact View'!M203:Q203)/5</x:f>
        <x:v>1</x:v>
      </x:c>
      <x:c r="E203" s="12" t="n">
        <x:f>'00 Compact View'!R203</x:f>
        <x:v>1</x:v>
      </x:c>
      <x:c r="F203" s="12" t="n">
        <x:f>'00 Compact View'!T203</x:f>
        <x:v>0</x:v>
      </x:c>
      <x:c r="G203" s="12" t="n">
        <x:f>'04 Resource Body'!$B$10</x:f>
        <x:v>0</x:v>
      </x:c>
      <x:c r="H203" t="n">
        <x:f>--(M203=0)</x:f>
        <x:v>0</x:v>
      </x:c>
      <x:c r="I203" t="n">
        <x:f>--(MIN(1,C203+D203+(E203*'03 Mind Knobs'!$B$17)+(F203*'03 Mind Knobs'!$B$18)+('03 Mind Knobs'!$B$7*F203))&gt;=MAX(0.15,0.35+(G203*'03 Mind Knobs'!$B$10)-('03 Mind Knobs'!$B$13*0.15)))</x:f>
        <x:v>1</x:v>
      </x:c>
      <x:c r="J203" t="n">
        <x:f>--(MIN(1,C203+D203+(E203*'03 Mind Knobs'!$B$17)+(F203*'03 Mind Knobs'!$B$18)+('03 Mind Knobs'!$B$7*F203))&gt;=MIN(0.95,'03 Mind Knobs'!$B$19+(G203*'03 Mind Knobs'!$B$10)-('03 Mind Knobs'!$B$13*0.10)))</x:f>
        <x:v>1</x:v>
      </x:c>
      <x:c r="K203" t="n">
        <x:f>--(AND(J203=1,OR(E203=1,F203=1)))</x:f>
        <x:v>1</x:v>
      </x:c>
      <x:c r="L203" t="n">
        <x:f>--(MAX(SUMIFS('00 Compact View'!$H$6:$H$205,'00 Compact View'!$A$6:$A$205,A203,'00 Compact View'!$B$6:$B$205,"&gt;="&amp;B203-'03 Mind Knobs'!$B$16+1,'00 Compact View'!$B$6:$B$205,"&lt;="&amp;B203),SUMIFS('00 Compact View'!$I$6:$I$205,'00 Compact View'!$A$6:$A$205,A203,'00 Compact View'!$B$6:$B$205,"&gt;="&amp;B203-'03 Mind Knobs'!$B$16+1,'00 Compact View'!$B$6:$B$205,"&lt;="&amp;B203),SUMIFS('00 Compact View'!$J$6:$J$205,'00 Compact View'!$A$6:$A$205,A203,'00 Compact View'!$B$6:$B$205,"&gt;="&amp;B203-'03 Mind Knobs'!$B$16+1,'00 Compact View'!$B$6:$B$205,"&lt;="&amp;B203),SUMIFS('00 Compact View'!$K$6:$K$205,'00 Compact View'!$A$6:$A$205,A203,'00 Compact View'!$B$6:$B$205,"&gt;="&amp;B203-'03 Mind Knobs'!$B$16+1,'00 Compact View'!$B$6:$B$205,"&lt;="&amp;B203),SUMIFS('00 Compact View'!$L$6:$L$205,'00 Compact View'!$A$6:$A$205,A203,'00 Compact View'!$B$6:$B$205,"&gt;="&amp;B203-'03 Mind Knobs'!$B$16+1,'00 Compact View'!$B$6:$B$205,"&lt;="&amp;B203))&gt;=MAX(1,ROUNDUP('03 Mind Knobs'!$B$16*(1-'03 Mind Knobs'!$B$8),0)))</x:f>
        <x:v>1</x:v>
      </x:c>
      <x:c r="M203" t="n">
        <x:f>--(OR(I203=1,J203=1,K203=1,L203=1))</x:f>
        <x:v>1</x:v>
      </x:c>
    </x:row>
    <x:row r="204">
      <x:c r="A204" t="n">
        <x:f>'00 Compact View'!A204</x:f>
        <x:v>10</x:v>
      </x:c>
      <x:c r="B204" t="n">
        <x:f>'00 Compact View'!B204</x:f>
        <x:v>19</x:v>
      </x:c>
      <x:c r="C204" s="12" t="n">
        <x:f>SUM('00 Compact View'!H204:L204)/5</x:f>
        <x:v>0.4</x:v>
      </x:c>
      <x:c r="D204" s="12" t="n">
        <x:f>SUM('00 Compact View'!M204:Q204)/5</x:f>
        <x:v>1</x:v>
      </x:c>
      <x:c r="E204" s="12" t="n">
        <x:f>'00 Compact View'!R204</x:f>
        <x:v>1</x:v>
      </x:c>
      <x:c r="F204" s="12" t="n">
        <x:f>'00 Compact View'!T204</x:f>
        <x:v>0</x:v>
      </x:c>
      <x:c r="G204" s="12" t="n">
        <x:f>'04 Resource Body'!$B$10</x:f>
        <x:v>0</x:v>
      </x:c>
      <x:c r="H204" t="n">
        <x:f>--(M204=0)</x:f>
        <x:v>0</x:v>
      </x:c>
      <x:c r="I204" t="n">
        <x:f>--(MIN(1,C204+D204+(E204*'03 Mind Knobs'!$B$17)+(F204*'03 Mind Knobs'!$B$18)+('03 Mind Knobs'!$B$7*F204))&gt;=MAX(0.15,0.35+(G204*'03 Mind Knobs'!$B$10)-('03 Mind Knobs'!$B$13*0.15)))</x:f>
        <x:v>1</x:v>
      </x:c>
      <x:c r="J204" t="n">
        <x:f>--(MIN(1,C204+D204+(E204*'03 Mind Knobs'!$B$17)+(F204*'03 Mind Knobs'!$B$18)+('03 Mind Knobs'!$B$7*F204))&gt;=MIN(0.95,'03 Mind Knobs'!$B$19+(G204*'03 Mind Knobs'!$B$10)-('03 Mind Knobs'!$B$13*0.10)))</x:f>
        <x:v>1</x:v>
      </x:c>
      <x:c r="K204" t="n">
        <x:f>--(AND(J204=1,OR(E204=1,F204=1)))</x:f>
        <x:v>1</x:v>
      </x:c>
      <x:c r="L204" t="n">
        <x:f>--(MAX(SUMIFS('00 Compact View'!$H$6:$H$205,'00 Compact View'!$A$6:$A$205,A204,'00 Compact View'!$B$6:$B$205,"&gt;="&amp;B204-'03 Mind Knobs'!$B$16+1,'00 Compact View'!$B$6:$B$205,"&lt;="&amp;B204),SUMIFS('00 Compact View'!$I$6:$I$205,'00 Compact View'!$A$6:$A$205,A204,'00 Compact View'!$B$6:$B$205,"&gt;="&amp;B204-'03 Mind Knobs'!$B$16+1,'00 Compact View'!$B$6:$B$205,"&lt;="&amp;B204),SUMIFS('00 Compact View'!$J$6:$J$205,'00 Compact View'!$A$6:$A$205,A204,'00 Compact View'!$B$6:$B$205,"&gt;="&amp;B204-'03 Mind Knobs'!$B$16+1,'00 Compact View'!$B$6:$B$205,"&lt;="&amp;B204),SUMIFS('00 Compact View'!$K$6:$K$205,'00 Compact View'!$A$6:$A$205,A204,'00 Compact View'!$B$6:$B$205,"&gt;="&amp;B204-'03 Mind Knobs'!$B$16+1,'00 Compact View'!$B$6:$B$205,"&lt;="&amp;B204),SUMIFS('00 Compact View'!$L$6:$L$205,'00 Compact View'!$A$6:$A$205,A204,'00 Compact View'!$B$6:$B$205,"&gt;="&amp;B204-'03 Mind Knobs'!$B$16+1,'00 Compact View'!$B$6:$B$205,"&lt;="&amp;B204))&gt;=MAX(1,ROUNDUP('03 Mind Knobs'!$B$16*(1-'03 Mind Knobs'!$B$8),0)))</x:f>
        <x:v>1</x:v>
      </x:c>
      <x:c r="M204" t="n">
        <x:f>--(OR(I204=1,J204=1,K204=1,L204=1))</x:f>
        <x:v>1</x:v>
      </x:c>
    </x:row>
    <x:row r="205">
      <x:c r="A205" t="n">
        <x:f>'00 Compact View'!A205</x:f>
        <x:v>10</x:v>
      </x:c>
      <x:c r="B205" t="n">
        <x:f>'00 Compact View'!B205</x:f>
        <x:v>20</x:v>
      </x:c>
      <x:c r="C205" s="12" t="n">
        <x:f>SUM('00 Compact View'!H205:L205)/5</x:f>
        <x:v>1</x:v>
      </x:c>
      <x:c r="D205" s="12" t="n">
        <x:f>SUM('00 Compact View'!M205:Q205)/5</x:f>
        <x:v>0.6</x:v>
      </x:c>
      <x:c r="E205" s="12" t="n">
        <x:f>'00 Compact View'!R205</x:f>
        <x:v>1</x:v>
      </x:c>
      <x:c r="F205" s="12" t="n">
        <x:f>'00 Compact View'!T205</x:f>
        <x:v>1</x:v>
      </x:c>
      <x:c r="G205" s="12" t="n">
        <x:f>'04 Resource Body'!$B$10</x:f>
        <x:v>0</x:v>
      </x:c>
      <x:c r="H205" t="n">
        <x:f>--(M205=0)</x:f>
        <x:v>0</x:v>
      </x:c>
      <x:c r="I205" t="n">
        <x:f>--(MIN(1,C205+D205+(E205*'03 Mind Knobs'!$B$17)+(F205*'03 Mind Knobs'!$B$18)+('03 Mind Knobs'!$B$7*F205))&gt;=MAX(0.15,0.35+(G205*'03 Mind Knobs'!$B$10)-('03 Mind Knobs'!$B$13*0.15)))</x:f>
        <x:v>1</x:v>
      </x:c>
      <x:c r="J205" t="n">
        <x:f>--(MIN(1,C205+D205+(E205*'03 Mind Knobs'!$B$17)+(F205*'03 Mind Knobs'!$B$18)+('03 Mind Knobs'!$B$7*F205))&gt;=MIN(0.95,'03 Mind Knobs'!$B$19+(G205*'03 Mind Knobs'!$B$10)-('03 Mind Knobs'!$B$13*0.10)))</x:f>
        <x:v>1</x:v>
      </x:c>
      <x:c r="K205" t="n">
        <x:f>--(AND(J205=1,OR(E205=1,F205=1)))</x:f>
        <x:v>1</x:v>
      </x:c>
      <x:c r="L205" t="n">
        <x:f>--(MAX(SUMIFS('00 Compact View'!$H$6:$H$205,'00 Compact View'!$A$6:$A$205,A205,'00 Compact View'!$B$6:$B$205,"&gt;="&amp;B205-'03 Mind Knobs'!$B$16+1,'00 Compact View'!$B$6:$B$205,"&lt;="&amp;B205),SUMIFS('00 Compact View'!$I$6:$I$205,'00 Compact View'!$A$6:$A$205,A205,'00 Compact View'!$B$6:$B$205,"&gt;="&amp;B205-'03 Mind Knobs'!$B$16+1,'00 Compact View'!$B$6:$B$205,"&lt;="&amp;B205),SUMIFS('00 Compact View'!$J$6:$J$205,'00 Compact View'!$A$6:$A$205,A205,'00 Compact View'!$B$6:$B$205,"&gt;="&amp;B205-'03 Mind Knobs'!$B$16+1,'00 Compact View'!$B$6:$B$205,"&lt;="&amp;B205),SUMIFS('00 Compact View'!$K$6:$K$205,'00 Compact View'!$A$6:$A$205,A205,'00 Compact View'!$B$6:$B$205,"&gt;="&amp;B205-'03 Mind Knobs'!$B$16+1,'00 Compact View'!$B$6:$B$205,"&lt;="&amp;B205),SUMIFS('00 Compact View'!$L$6:$L$205,'00 Compact View'!$A$6:$A$205,A205,'00 Compact View'!$B$6:$B$205,"&gt;="&amp;B205-'03 Mind Knobs'!$B$16+1,'00 Compact View'!$B$6:$B$205,"&lt;="&amp;B205))&gt;=MAX(1,ROUNDUP('03 Mind Knobs'!$B$16*(1-'03 Mind Knobs'!$B$8),0)))</x:f>
        <x:v>1</x:v>
      </x:c>
      <x:c r="M205" t="n">
        <x:f>--(OR(I205=1,J205=1,K205=1,L205=1))</x:f>
        <x:v>1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6.440000057220459" hidden="0" customWidth="1"/>
    <x:col min="3" max="3" width="6.440000057220459" hidden="0" customWidth="1"/>
    <x:col min="4" max="4" width="6.440000057220459" hidden="0" customWidth="1"/>
    <x:col min="5" max="5" width="6.440000057220459" hidden="0" customWidth="1"/>
    <x:col min="6" max="6" width="6.440000057220459" hidden="0" customWidth="1"/>
    <x:col min="7" max="7" width="6.440000057220459" hidden="0" customWidth="1"/>
    <x:col min="8" max="8" width="6.440000057220459" hidden="0" customWidth="1"/>
    <x:col min="9" max="9" width="6.440000057220459" hidden="0" customWidth="1"/>
    <x:col min="10" max="10" width="6.440000057220459" hidden="0" customWidth="1"/>
    <x:col min="11" max="11" width="6.440000057220459" hidden="0" customWidth="1"/>
    <x:col min="12" max="12" width="6.440000057220459" hidden="0" customWidth="1"/>
    <x:col min="13" max="13" width="6.440000057220459" hidden="0" customWidth="1"/>
    <x:col min="14" max="14" width="6.440000057220459" hidden="0" customWidth="1"/>
  </x:cols>
  <x:sheetData>
    <x:row r="1" ht="19.5" customHeight="1">
      <x:c r="A1" s="4" t="str">
        <x:v>06 Habit Efficiency</x:v>
      </x:c>
      <x:c r="B1" s="4" t="str">
        <x:v>06 Habit Efficiency</x:v>
      </x:c>
      <x:c r="C1" s="4" t="str">
        <x:v>06 Habit Efficiency</x:v>
      </x:c>
      <x:c r="D1" s="4" t="str">
        <x:v>06 Habit Efficiency</x:v>
      </x:c>
      <x:c r="E1" s="4" t="str">
        <x:v>06 Habit Efficiency</x:v>
      </x:c>
      <x:c r="F1" s="4" t="str">
        <x:v>06 Habit Efficiency</x:v>
      </x:c>
      <x:c r="G1" s="4" t="str">
        <x:v>06 Habit Efficiency</x:v>
      </x:c>
      <x:c r="H1" s="4" t="str">
        <x:v>06 Habit Efficiency</x:v>
      </x:c>
      <x:c r="I1" s="4" t="str">
        <x:v>06 Habit Efficiency</x:v>
      </x:c>
      <x:c r="J1" s="4" t="str">
        <x:v>06 Habit Efficiency</x:v>
      </x:c>
      <x:c r="K1" s="4" t="str">
        <x:v>06 Habit Efficiency</x:v>
      </x:c>
      <x:c r="L1" s="4" t="str">
        <x:v>06 Habit Efficiency</x:v>
      </x:c>
      <x:c r="M1" s="4" t="str">
        <x:v>06 Habit Efficiency</x:v>
      </x:c>
      <x:c r="N1" s="4" t="str">
        <x:v>06 Habit Efficiency</x:v>
      </x:c>
    </x:row>
    <x:row r="2" ht="18" customHeight="1">
      <x:c r="A2" s="6" t="str">
        <x:v>Sample-level trigger + sequence + reward handoff. Outputs stay numeric and inspectable.</x:v>
      </x:c>
      <x:c r="B2" s="6" t="str">
        <x:v>Sample-level trigger + sequence + reward handoff. Outputs stay numeric and inspectable.</x:v>
      </x:c>
      <x:c r="C2" s="6" t="str">
        <x:v>Sample-level trigger + sequence + reward handoff. Outputs stay numeric and inspectable.</x:v>
      </x:c>
      <x:c r="D2" s="6" t="str">
        <x:v>Sample-level trigger + sequence + reward handoff. Outputs stay numeric and inspectable.</x:v>
      </x:c>
      <x:c r="E2" s="6" t="str">
        <x:v>Sample-level trigger + sequence + reward handoff. Outputs stay numeric and inspectable.</x:v>
      </x:c>
      <x:c r="F2" s="6" t="str">
        <x:v>Sample-level trigger + sequence + reward handoff. Outputs stay numeric and inspectable.</x:v>
      </x:c>
      <x:c r="G2" s="6" t="str">
        <x:v>Sample-level trigger + sequence + reward handoff. Outputs stay numeric and inspectable.</x:v>
      </x:c>
      <x:c r="H2" s="6" t="str">
        <x:v>Sample-level trigger + sequence + reward handoff. Outputs stay numeric and inspectable.</x:v>
      </x:c>
      <x:c r="I2" s="6" t="str">
        <x:v>Sample-level trigger + sequence + reward handoff. Outputs stay numeric and inspectable.</x:v>
      </x:c>
      <x:c r="J2" s="6" t="str">
        <x:v>Sample-level trigger + sequence + reward handoff. Outputs stay numeric and inspectable.</x:v>
      </x:c>
      <x:c r="K2" s="6" t="str">
        <x:v>Sample-level trigger + sequence + reward handoff. Outputs stay numeric and inspectable.</x:v>
      </x:c>
      <x:c r="L2" s="6" t="str">
        <x:v>Sample-level trigger + sequence + reward handoff. Outputs stay numeric and inspectable.</x:v>
      </x:c>
      <x:c r="M2" s="6" t="str">
        <x:v>Sample-level trigger + sequence + reward handoff. Outputs stay numeric and inspectable.</x:v>
      </x:c>
      <x:c r="N2" s="6" t="str">
        <x:v>Sample-level trigger + sequence + reward handoff. Outputs stay numeric and inspectable.</x:v>
      </x:c>
    </x:row>
    <x:row r="5">
      <x:c r="A5" s="9" t="str">
        <x:v>sample</x:v>
      </x:c>
      <x:c r="B5" s="10" t="str">
        <x:v>trig</x:v>
      </x:c>
      <x:c r="C5" s="10" t="str">
        <x:v>seq</x:v>
      </x:c>
      <x:c r="D5" s="10" t="str">
        <x:v>reward</x:v>
      </x:c>
      <x:c r="E5" s="10" t="str">
        <x:v>loop</x:v>
      </x:c>
      <x:c r="F5" s="10" t="str">
        <x:v>rep</x:v>
      </x:c>
      <x:c r="G5" s="10" t="str">
        <x:v>conf</x:v>
      </x:c>
      <x:c r="H5" s="10" t="str">
        <x:v>fail</x:v>
      </x:c>
      <x:c r="I5" s="10" t="str">
        <x:v>handoff</x:v>
      </x:c>
      <x:c r="J5" s="10" t="str">
        <x:v>partial</x:v>
      </x:c>
      <x:c r="K5" s="10" t="str">
        <x:v>auto</x:v>
      </x:c>
      <x:c r="L5" s="10" t="str">
        <x:v>audit</x:v>
      </x:c>
      <x:c r="M5" s="10" t="str">
        <x:v>eff</x:v>
      </x:c>
      <x:c r="N5" s="11" t="str">
        <x:v>safe</x:v>
      </x:c>
    </x:row>
    <x:row r="6">
      <x:c r="A6" t="n">
        <x:f>1</x:f>
        <x:v>1</x:v>
      </x:c>
      <x:c r="B6" s="12" t="n">
        <x:f>MIN(1,(SUMIFS('00 Compact View'!$V$6:$V$205,'00 Compact View'!$A$6:$A$205,A6)+SUMIFS('00 Compact View'!$Y$6:$Y$205,'00 Compact View'!$A$6:$A$205,A6)*2)/20)</x:f>
        <x:v>0</x:v>
      </x:c>
      <x:c r="C6" s="12" t="n">
        <x:f>MIN(1,(SUMIFS('00 Compact View'!$W$6:$W$205,'00 Compact View'!$A$6:$A$205,A6)+SUMIFS('00 Compact View'!$X$6:$X$205,'00 Compact View'!$A$6:$A$205,A6)+SUMIFS('00 Compact View'!$R$6:$R$205,'00 Compact View'!$A$6:$A$205,A6)+SUMIFS('00 Compact View'!$T$6:$T$205,'00 Compact View'!$A$6:$A$205,A6))/40)</x:f>
        <x:v>0</x:v>
      </x:c>
      <x:c r="D6" s="12" t="n">
        <x:f>MIN(1,(B6*0.25)+(C6*0.25)+('04 Resource Body'!$D$11*0.25)+('04 Resource Body'!$F$11*0.25))</x:f>
        <x:v>0.4625</x:v>
      </x:c>
      <x:c r="E6" s="12" t="n">
        <x:f>ROUND(B6*3,0)*100+ROUND(C6*3,0)*10+ROUND(D6*3,0)</x:f>
        <x:v>1</x:v>
      </x:c>
      <x:c r="F6" s="12" t="n">
        <x:f>COUNTIF($E$6:$E$15,E6)</x:f>
        <x:v>2</x:v>
      </x:c>
      <x:c r="G6" s="12" t="n">
        <x:f>MIN(1,(D6*0.45)+(MIN(1,F6/'03 Mind Knobs'!$B$21)*0.35)+('04 Resource Body'!$D$11*0.20))</x:f>
        <x:v>0.6414583333333332</x:v>
      </x:c>
      <x:c r="H6" s="12" t="n">
        <x:f>MAX(0,(1-D6)*0.35+('04 Resource Body'!$B$10*0.20))</x:f>
        <x:v>0.188125</x:v>
      </x:c>
      <x:c r="I6" s="12" t="n">
        <x:f>--(AND(B6&gt;0,C6&gt;0,D6&gt;=0.45,F6&gt;='03 Mind Knobs'!$B$21,G6&gt;='03 Mind Knobs'!$B$22,H6&lt;='03 Mind Knobs'!$B$23))</x:f>
        <x:v>0</x:v>
      </x:c>
      <x:c r="J6" s="12" t="n">
        <x:f>--(AND(I6=0,'03 Mind Knobs'!$B$24=1,B6&gt;0,C6&gt;0,D6&gt;=0.35,G6&gt;=('03 Mind Knobs'!$B$22*0.70)))</x:f>
        <x:v>0</x:v>
      </x:c>
      <x:c r="K6" s="12" t="n">
        <x:f>--(AND(I6=1,M6&gt;=0.75,N6=1))</x:f>
        <x:v>0</x:v>
      </x:c>
      <x:c r="L6" s="12" t="n">
        <x:f>--(AND('03 Mind Knobs'!$B$25=1,OR(I6=1,J6=1,K6=1)))</x:f>
        <x:v>0</x:v>
      </x:c>
      <x:c r="M6" s="12" t="n">
        <x:f>MIN(1,'04 Resource Body'!$F$11+(G6*0.15)+(I6*0.10)+(J6*0.05))</x:f>
        <x:v>0.94621875</x:v>
      </x:c>
      <x:c r="N6" s="12" t="n">
        <x:f>--(H6&lt;='03 Mind Knobs'!$B$23)</x:f>
        <x:v>1</x:v>
      </x:c>
    </x:row>
    <x:row r="7">
      <x:c r="A7" t="n">
        <x:f>2</x:f>
        <x:v>2</x:v>
      </x:c>
      <x:c r="B7" s="12" t="n">
        <x:f>MIN(1,(SUMIFS('00 Compact View'!$V$6:$V$205,'00 Compact View'!$A$6:$A$205,A7)+SUMIFS('00 Compact View'!$Y$6:$Y$205,'00 Compact View'!$A$6:$A$205,A7)*2)/20)</x:f>
        <x:v>0</x:v>
      </x:c>
      <x:c r="C7" s="12" t="n">
        <x:f>MIN(1,(SUMIFS('00 Compact View'!$W$6:$W$205,'00 Compact View'!$A$6:$A$205,A7)+SUMIFS('00 Compact View'!$X$6:$X$205,'00 Compact View'!$A$6:$A$205,A7)+SUMIFS('00 Compact View'!$R$6:$R$205,'00 Compact View'!$A$6:$A$205,A7)+SUMIFS('00 Compact View'!$T$6:$T$205,'00 Compact View'!$A$6:$A$205,A7))/40)</x:f>
        <x:v>0</x:v>
      </x:c>
      <x:c r="D7" s="12" t="n">
        <x:f>MIN(1,(B7*0.25)+(C7*0.25)+('04 Resource Body'!$D$11*0.25)+('04 Resource Body'!$F$11*0.25))</x:f>
        <x:v>0.4625</x:v>
      </x:c>
      <x:c r="E7" s="12" t="n">
        <x:f>ROUND(B7*3,0)*100+ROUND(C7*3,0)*10+ROUND(D7*3,0)</x:f>
        <x:v>1</x:v>
      </x:c>
      <x:c r="F7" s="12" t="n">
        <x:f>COUNTIF($E$6:$E$15,E7)</x:f>
        <x:v>2</x:v>
      </x:c>
      <x:c r="G7" s="12" t="n">
        <x:f>MIN(1,(D7*0.45)+(MIN(1,F7/'03 Mind Knobs'!$B$21)*0.35)+('04 Resource Body'!$D$11*0.20))</x:f>
        <x:v>0.6414583333333332</x:v>
      </x:c>
      <x:c r="H7" s="12" t="n">
        <x:f>MAX(0,(1-D7)*0.35+('04 Resource Body'!$B$10*0.20))</x:f>
        <x:v>0.188125</x:v>
      </x:c>
      <x:c r="I7" s="12" t="n">
        <x:f>--(AND(B7&gt;0,C7&gt;0,D7&gt;=0.45,F7&gt;='03 Mind Knobs'!$B$21,G7&gt;='03 Mind Knobs'!$B$22,H7&lt;='03 Mind Knobs'!$B$23))</x:f>
        <x:v>0</x:v>
      </x:c>
      <x:c r="J7" s="12" t="n">
        <x:f>--(AND(I7=0,'03 Mind Knobs'!$B$24=1,B7&gt;0,C7&gt;0,D7&gt;=0.35,G7&gt;=('03 Mind Knobs'!$B$22*0.70)))</x:f>
        <x:v>0</x:v>
      </x:c>
      <x:c r="K7" s="12" t="n">
        <x:f>--(AND(I7=1,M7&gt;=0.75,N7=1))</x:f>
        <x:v>0</x:v>
      </x:c>
      <x:c r="L7" s="12" t="n">
        <x:f>--(AND('03 Mind Knobs'!$B$25=1,OR(I7=1,J7=1,K7=1)))</x:f>
        <x:v>0</x:v>
      </x:c>
      <x:c r="M7" s="12" t="n">
        <x:f>MIN(1,'04 Resource Body'!$F$11+(G7*0.15)+(I7*0.10)+(J7*0.05))</x:f>
        <x:v>0.94621875</x:v>
      </x:c>
      <x:c r="N7" s="12" t="n">
        <x:f>--(H7&lt;='03 Mind Knobs'!$B$23)</x:f>
        <x:v>1</x:v>
      </x:c>
    </x:row>
    <x:row r="8">
      <x:c r="A8" t="n">
        <x:f>3</x:f>
        <x:v>3</x:v>
      </x:c>
      <x:c r="B8" s="12" t="n">
        <x:f>MIN(1,(SUMIFS('00 Compact View'!$V$6:$V$205,'00 Compact View'!$A$6:$A$205,A8)+SUMIFS('00 Compact View'!$Y$6:$Y$205,'00 Compact View'!$A$6:$A$205,A8)*2)/20)</x:f>
        <x:v>0.1</x:v>
      </x:c>
      <x:c r="C8" s="12" t="n">
        <x:f>MIN(1,(SUMIFS('00 Compact View'!$W$6:$W$205,'00 Compact View'!$A$6:$A$205,A8)+SUMIFS('00 Compact View'!$X$6:$X$205,'00 Compact View'!$A$6:$A$205,A8)+SUMIFS('00 Compact View'!$R$6:$R$205,'00 Compact View'!$A$6:$A$205,A8)+SUMIFS('00 Compact View'!$T$6:$T$205,'00 Compact View'!$A$6:$A$205,A8))/40)</x:f>
        <x:v>0.15</x:v>
      </x:c>
      <x:c r="D8" s="12" t="n">
        <x:f>MIN(1,(B8*0.25)+(C8*0.25)+('04 Resource Body'!$D$11*0.25)+('04 Resource Body'!$F$11*0.25))</x:f>
        <x:v>0.525</x:v>
      </x:c>
      <x:c r="E8" s="12" t="n">
        <x:f>ROUND(B8*3,0)*100+ROUND(C8*3,0)*10+ROUND(D8*3,0)</x:f>
        <x:v>2</x:v>
      </x:c>
      <x:c r="F8" s="12" t="n">
        <x:f>COUNTIF($E$6:$E$15,E8)</x:f>
        <x:v>1</x:v>
      </x:c>
      <x:c r="G8" s="12" t="n">
        <x:f>MIN(1,(D8*0.45)+(MIN(1,F8/'03 Mind Knobs'!$B$21)*0.35)+('04 Resource Body'!$D$11*0.20))</x:f>
        <x:v>0.5529166666666667</x:v>
      </x:c>
      <x:c r="H8" s="12" t="n">
        <x:f>MAX(0,(1-D8)*0.35+('04 Resource Body'!$B$10*0.20))</x:f>
        <x:v>0.16624999999999998</x:v>
      </x:c>
      <x:c r="I8" s="12" t="n">
        <x:f>--(AND(B8&gt;0,C8&gt;0,D8&gt;=0.45,F8&gt;='03 Mind Knobs'!$B$21,G8&gt;='03 Mind Knobs'!$B$22,H8&lt;='03 Mind Knobs'!$B$23))</x:f>
        <x:v>0</x:v>
      </x:c>
      <x:c r="J8" s="12" t="n">
        <x:f>--(AND(I8=0,'03 Mind Knobs'!$B$24=1,B8&gt;0,C8&gt;0,D8&gt;=0.35,G8&gt;=('03 Mind Knobs'!$B$22*0.70)))</x:f>
        <x:v>0</x:v>
      </x:c>
      <x:c r="K8" s="12" t="n">
        <x:f>--(AND(I8=1,M8&gt;=0.75,N8=1))</x:f>
        <x:v>0</x:v>
      </x:c>
      <x:c r="L8" s="12" t="n">
        <x:f>--(AND('03 Mind Knobs'!$B$25=1,OR(I8=1,J8=1,K8=1)))</x:f>
        <x:v>0</x:v>
      </x:c>
      <x:c r="M8" s="12" t="n">
        <x:f>MIN(1,'04 Resource Body'!$F$11+(G8*0.15)+(I8*0.10)+(J8*0.05))</x:f>
        <x:v>0.9329375</x:v>
      </x:c>
      <x:c r="N8" s="12" t="n">
        <x:f>--(H8&lt;='03 Mind Knobs'!$B$23)</x:f>
        <x:v>1</x:v>
      </x:c>
    </x:row>
    <x:row r="9">
      <x:c r="A9" t="n">
        <x:f>4</x:f>
        <x:v>4</x:v>
      </x:c>
      <x:c r="B9" s="12" t="n">
        <x:f>MIN(1,(SUMIFS('00 Compact View'!$V$6:$V$205,'00 Compact View'!$A$6:$A$205,A9)+SUMIFS('00 Compact View'!$Y$6:$Y$205,'00 Compact View'!$A$6:$A$205,A9)*2)/20)</x:f>
        <x:v>0.2</x:v>
      </x:c>
      <x:c r="C9" s="12" t="n">
        <x:f>MIN(1,(SUMIFS('00 Compact View'!$W$6:$W$205,'00 Compact View'!$A$6:$A$205,A9)+SUMIFS('00 Compact View'!$X$6:$X$205,'00 Compact View'!$A$6:$A$205,A9)+SUMIFS('00 Compact View'!$R$6:$R$205,'00 Compact View'!$A$6:$A$205,A9)+SUMIFS('00 Compact View'!$T$6:$T$205,'00 Compact View'!$A$6:$A$205,A9))/40)</x:f>
        <x:v>0.3</x:v>
      </x:c>
      <x:c r="D9" s="12" t="n">
        <x:f>MIN(1,(B9*0.25)+(C9*0.25)+('04 Resource Body'!$D$11*0.25)+('04 Resource Body'!$F$11*0.25))</x:f>
        <x:v>0.5875</x:v>
      </x:c>
      <x:c r="E9" s="12" t="n">
        <x:f>ROUND(B9*3,0)*100+ROUND(C9*3,0)*10+ROUND(D9*3,0)</x:f>
        <x:v>112</x:v>
      </x:c>
      <x:c r="F9" s="12" t="n">
        <x:f>COUNTIF($E$6:$E$15,E9)</x:f>
        <x:v>1</x:v>
      </x:c>
      <x:c r="G9" s="12" t="n">
        <x:f>MIN(1,(D9*0.45)+(MIN(1,F9/'03 Mind Knobs'!$B$21)*0.35)+('04 Resource Body'!$D$11*0.20))</x:f>
        <x:v>0.5810416666666667</x:v>
      </x:c>
      <x:c r="H9" s="12" t="n">
        <x:f>MAX(0,(1-D9)*0.35+('04 Resource Body'!$B$10*0.20))</x:f>
        <x:v>0.14437499999999998</x:v>
      </x:c>
      <x:c r="I9" s="12" t="n">
        <x:f>--(AND(B9&gt;0,C9&gt;0,D9&gt;=0.45,F9&gt;='03 Mind Knobs'!$B$21,G9&gt;='03 Mind Knobs'!$B$22,H9&lt;='03 Mind Knobs'!$B$23))</x:f>
        <x:v>0</x:v>
      </x:c>
      <x:c r="J9" s="12" t="n">
        <x:f>--(AND(I9=0,'03 Mind Knobs'!$B$24=1,B9&gt;0,C9&gt;0,D9&gt;=0.35,G9&gt;=('03 Mind Knobs'!$B$22*0.70)))</x:f>
        <x:v>1</x:v>
      </x:c>
      <x:c r="K9" s="12" t="n">
        <x:f>--(AND(I9=1,M9&gt;=0.75,N9=1))</x:f>
        <x:v>0</x:v>
      </x:c>
      <x:c r="L9" s="12" t="n">
        <x:f>--(AND('03 Mind Knobs'!$B$25=1,OR(I9=1,J9=1,K9=1)))</x:f>
        <x:v>1</x:v>
      </x:c>
      <x:c r="M9" s="12" t="n">
        <x:f>MIN(1,'04 Resource Body'!$F$11+(G9*0.15)+(I9*0.10)+(J9*0.05))</x:f>
        <x:v>0.9871562500000001</x:v>
      </x:c>
      <x:c r="N9" s="12" t="n">
        <x:f>--(H9&lt;='03 Mind Knobs'!$B$23)</x:f>
        <x:v>1</x:v>
      </x:c>
    </x:row>
    <x:row r="10">
      <x:c r="A10" t="n">
        <x:f>5</x:f>
        <x:v>5</x:v>
      </x:c>
      <x:c r="B10" s="12" t="n">
        <x:f>MIN(1,(SUMIFS('00 Compact View'!$V$6:$V$205,'00 Compact View'!$A$6:$A$205,A10)+SUMIFS('00 Compact View'!$Y$6:$Y$205,'00 Compact View'!$A$6:$A$205,A10)*2)/20)</x:f>
        <x:v>0.15</x:v>
      </x:c>
      <x:c r="C10" s="12" t="n">
        <x:f>MIN(1,(SUMIFS('00 Compact View'!$W$6:$W$205,'00 Compact View'!$A$6:$A$205,A10)+SUMIFS('00 Compact View'!$X$6:$X$205,'00 Compact View'!$A$6:$A$205,A10)+SUMIFS('00 Compact View'!$R$6:$R$205,'00 Compact View'!$A$6:$A$205,A10)+SUMIFS('00 Compact View'!$T$6:$T$205,'00 Compact View'!$A$6:$A$205,A10))/40)</x:f>
        <x:v>0.25</x:v>
      </x:c>
      <x:c r="D10" s="12" t="n">
        <x:f>MIN(1,(B10*0.25)+(C10*0.25)+('04 Resource Body'!$D$11*0.25)+('04 Resource Body'!$F$11*0.25))</x:f>
        <x:v>0.5625</x:v>
      </x:c>
      <x:c r="E10" s="12" t="n">
        <x:f>ROUND(B10*3,0)*100+ROUND(C10*3,0)*10+ROUND(D10*3,0)</x:f>
        <x:v>12</x:v>
      </x:c>
      <x:c r="F10" s="12" t="n">
        <x:f>COUNTIF($E$6:$E$15,E10)</x:f>
        <x:v>1</x:v>
      </x:c>
      <x:c r="G10" s="12" t="n">
        <x:f>MIN(1,(D10*0.45)+(MIN(1,F10/'03 Mind Knobs'!$B$21)*0.35)+('04 Resource Body'!$D$11*0.20))</x:f>
        <x:v>0.5697916666666667</x:v>
      </x:c>
      <x:c r="H10" s="12" t="n">
        <x:f>MAX(0,(1-D10)*0.35+('04 Resource Body'!$B$10*0.20))</x:f>
        <x:v>0.15312499999999998</x:v>
      </x:c>
      <x:c r="I10" s="12" t="n">
        <x:f>--(AND(B10&gt;0,C10&gt;0,D10&gt;=0.45,F10&gt;='03 Mind Knobs'!$B$21,G10&gt;='03 Mind Knobs'!$B$22,H10&lt;='03 Mind Knobs'!$B$23))</x:f>
        <x:v>0</x:v>
      </x:c>
      <x:c r="J10" s="12" t="n">
        <x:f>--(AND(I10=0,'03 Mind Knobs'!$B$24=1,B10&gt;0,C10&gt;0,D10&gt;=0.35,G10&gt;=('03 Mind Knobs'!$B$22*0.70)))</x:f>
        <x:v>1</x:v>
      </x:c>
      <x:c r="K10" s="12" t="n">
        <x:f>--(AND(I10=1,M10&gt;=0.75,N10=1))</x:f>
        <x:v>0</x:v>
      </x:c>
      <x:c r="L10" s="12" t="n">
        <x:f>--(AND('03 Mind Knobs'!$B$25=1,OR(I10=1,J10=1,K10=1)))</x:f>
        <x:v>1</x:v>
      </x:c>
      <x:c r="M10" s="12" t="n">
        <x:f>MIN(1,'04 Resource Body'!$F$11+(G10*0.15)+(I10*0.10)+(J10*0.05))</x:f>
        <x:v>0.98546875</x:v>
      </x:c>
      <x:c r="N10" s="12" t="n">
        <x:f>--(H10&lt;='03 Mind Knobs'!$B$23)</x:f>
        <x:v>1</x:v>
      </x:c>
    </x:row>
    <x:row r="11">
      <x:c r="A11" t="n">
        <x:f>6</x:f>
        <x:v>6</x:v>
      </x:c>
      <x:c r="B11" s="12" t="n">
        <x:f>MIN(1,(SUMIFS('00 Compact View'!$V$6:$V$205,'00 Compact View'!$A$6:$A$205,A11)+SUMIFS('00 Compact View'!$Y$6:$Y$205,'00 Compact View'!$A$6:$A$205,A11)*2)/20)</x:f>
        <x:v>0.35</x:v>
      </x:c>
      <x:c r="C11" s="12" t="n">
        <x:f>MIN(1,(SUMIFS('00 Compact View'!$W$6:$W$205,'00 Compact View'!$A$6:$A$205,A11)+SUMIFS('00 Compact View'!$X$6:$X$205,'00 Compact View'!$A$6:$A$205,A11)+SUMIFS('00 Compact View'!$R$6:$R$205,'00 Compact View'!$A$6:$A$205,A11)+SUMIFS('00 Compact View'!$T$6:$T$205,'00 Compact View'!$A$6:$A$205,A11))/40)</x:f>
        <x:v>0.55</x:v>
      </x:c>
      <x:c r="D11" s="12" t="n">
        <x:f>MIN(1,(B11*0.25)+(C11*0.25)+('04 Resource Body'!$D$11*0.25)+('04 Resource Body'!$F$11*0.25))</x:f>
        <x:v>0.6875</x:v>
      </x:c>
      <x:c r="E11" s="12" t="n">
        <x:f>ROUND(B11*3,0)*100+ROUND(C11*3,0)*10+ROUND(D11*3,0)</x:f>
        <x:v>122</x:v>
      </x:c>
      <x:c r="F11" s="12" t="n">
        <x:f>COUNTIF($E$6:$E$15,E11)</x:f>
        <x:v>1</x:v>
      </x:c>
      <x:c r="G11" s="12" t="n">
        <x:f>MIN(1,(D11*0.45)+(MIN(1,F11/'03 Mind Knobs'!$B$21)*0.35)+('04 Resource Body'!$D$11*0.20))</x:f>
        <x:v>0.6260416666666666</x:v>
      </x:c>
      <x:c r="H11" s="12" t="n">
        <x:f>MAX(0,(1-D11)*0.35+('04 Resource Body'!$B$10*0.20))</x:f>
        <x:v>0.109375</x:v>
      </x:c>
      <x:c r="I11" s="12" t="n">
        <x:f>--(AND(B11&gt;0,C11&gt;0,D11&gt;=0.45,F11&gt;='03 Mind Knobs'!$B$21,G11&gt;='03 Mind Knobs'!$B$22,H11&lt;='03 Mind Knobs'!$B$23))</x:f>
        <x:v>0</x:v>
      </x:c>
      <x:c r="J11" s="12" t="n">
        <x:f>--(AND(I11=0,'03 Mind Knobs'!$B$24=1,B11&gt;0,C11&gt;0,D11&gt;=0.35,G11&gt;=('03 Mind Knobs'!$B$22*0.70)))</x:f>
        <x:v>1</x:v>
      </x:c>
      <x:c r="K11" s="12" t="n">
        <x:f>--(AND(I11=1,M11&gt;=0.75,N11=1))</x:f>
        <x:v>0</x:v>
      </x:c>
      <x:c r="L11" s="12" t="n">
        <x:f>--(AND('03 Mind Knobs'!$B$25=1,OR(I11=1,J11=1,K11=1)))</x:f>
        <x:v>1</x:v>
      </x:c>
      <x:c r="M11" s="12" t="n">
        <x:f>MIN(1,'04 Resource Body'!$F$11+(G11*0.15)+(I11*0.10)+(J11*0.05))</x:f>
        <x:v>0.99390625</x:v>
      </x:c>
      <x:c r="N11" s="12" t="n">
        <x:f>--(H11&lt;='03 Mind Knobs'!$B$23)</x:f>
        <x:v>1</x:v>
      </x:c>
    </x:row>
    <x:row r="12">
      <x:c r="A12" t="n">
        <x:f>7</x:f>
        <x:v>7</x:v>
      </x:c>
      <x:c r="B12" s="12" t="n">
        <x:f>MIN(1,(SUMIFS('00 Compact View'!$V$6:$V$205,'00 Compact View'!$A$6:$A$205,A12)+SUMIFS('00 Compact View'!$Y$6:$Y$205,'00 Compact View'!$A$6:$A$205,A12)*2)/20)</x:f>
        <x:v>0.95</x:v>
      </x:c>
      <x:c r="C12" s="12" t="n">
        <x:f>MIN(1,(SUMIFS('00 Compact View'!$W$6:$W$205,'00 Compact View'!$A$6:$A$205,A12)+SUMIFS('00 Compact View'!$X$6:$X$205,'00 Compact View'!$A$6:$A$205,A12)+SUMIFS('00 Compact View'!$R$6:$R$205,'00 Compact View'!$A$6:$A$205,A12)+SUMIFS('00 Compact View'!$T$6:$T$205,'00 Compact View'!$A$6:$A$205,A12))/40)</x:f>
        <x:v>1</x:v>
      </x:c>
      <x:c r="D12" s="12" t="n">
        <x:f>MIN(1,(B12*0.25)+(C12*0.25)+('04 Resource Body'!$D$11*0.25)+('04 Resource Body'!$F$11*0.25))</x:f>
        <x:v>0.9500000000000001</x:v>
      </x:c>
      <x:c r="E12" s="12" t="n">
        <x:f>ROUND(B12*3,0)*100+ROUND(C12*3,0)*10+ROUND(D12*3,0)</x:f>
        <x:v>333</x:v>
      </x:c>
      <x:c r="F12" s="12" t="n">
        <x:f>COUNTIF($E$6:$E$15,E12)</x:f>
        <x:v>3</x:v>
      </x:c>
      <x:c r="G12" s="12" t="n">
        <x:f>MIN(1,(D12*0.45)+(MIN(1,F12/'03 Mind Knobs'!$B$21)*0.35)+('04 Resource Body'!$D$11*0.20))</x:f>
        <x:v>0.9775</x:v>
      </x:c>
      <x:c r="H12" s="12" t="n">
        <x:f>MAX(0,(1-D12)*0.35+('04 Resource Body'!$B$10*0.20))</x:f>
        <x:v>0.017499999999999974</x:v>
      </x:c>
      <x:c r="I12" s="12" t="n">
        <x:f>--(AND(B12&gt;0,C12&gt;0,D12&gt;=0.45,F12&gt;='03 Mind Knobs'!$B$21,G12&gt;='03 Mind Knobs'!$B$22,H12&lt;='03 Mind Knobs'!$B$23))</x:f>
        <x:v>1</x:v>
      </x:c>
      <x:c r="J12" s="12" t="n">
        <x:f>--(AND(I12=0,'03 Mind Knobs'!$B$24=1,B12&gt;0,C12&gt;0,D12&gt;=0.35,G12&gt;=('03 Mind Knobs'!$B$22*0.70)))</x:f>
        <x:v>0</x:v>
      </x:c>
      <x:c r="K12" s="12" t="n">
        <x:f>--(AND(I12=1,M12&gt;=0.75,N12=1))</x:f>
        <x:v>1</x:v>
      </x:c>
      <x:c r="L12" s="12" t="n">
        <x:f>--(AND('03 Mind Knobs'!$B$25=1,OR(I12=1,J12=1,K12=1)))</x:f>
        <x:v>1</x:v>
      </x:c>
      <x:c r="M12" s="12" t="n">
        <x:f>MIN(1,'04 Resource Body'!$F$11+(G12*0.15)+(I12*0.10)+(J12*0.05))</x:f>
        <x:v>1</x:v>
      </x:c>
      <x:c r="N12" s="12" t="n">
        <x:f>--(H12&lt;='03 Mind Knobs'!$B$23)</x:f>
        <x:v>1</x:v>
      </x:c>
    </x:row>
    <x:row r="13">
      <x:c r="A13" t="n">
        <x:f>8</x:f>
        <x:v>8</x:v>
      </x:c>
      <x:c r="B13" s="12" t="n">
        <x:f>MIN(1,(SUMIFS('00 Compact View'!$V$6:$V$205,'00 Compact View'!$A$6:$A$205,A13)+SUMIFS('00 Compact View'!$Y$6:$Y$205,'00 Compact View'!$A$6:$A$205,A13)*2)/20)</x:f>
        <x:v>0.75</x:v>
      </x:c>
      <x:c r="C13" s="12" t="n">
        <x:f>MIN(1,(SUMIFS('00 Compact View'!$W$6:$W$205,'00 Compact View'!$A$6:$A$205,A13)+SUMIFS('00 Compact View'!$X$6:$X$205,'00 Compact View'!$A$6:$A$205,A13)+SUMIFS('00 Compact View'!$R$6:$R$205,'00 Compact View'!$A$6:$A$205,A13)+SUMIFS('00 Compact View'!$T$6:$T$205,'00 Compact View'!$A$6:$A$205,A13))/40)</x:f>
        <x:v>1</x:v>
      </x:c>
      <x:c r="D13" s="12" t="n">
        <x:f>MIN(1,(B13*0.25)+(C13*0.25)+('04 Resource Body'!$D$11*0.25)+('04 Resource Body'!$F$11*0.25))</x:f>
        <x:v>0.9</x:v>
      </x:c>
      <x:c r="E13" s="12" t="n">
        <x:f>ROUND(B13*3,0)*100+ROUND(C13*3,0)*10+ROUND(D13*3,0)</x:f>
        <x:v>233</x:v>
      </x:c>
      <x:c r="F13" s="12" t="n">
        <x:f>COUNTIF($E$6:$E$15,E13)</x:f>
        <x:v>1</x:v>
      </x:c>
      <x:c r="G13" s="12" t="n">
        <x:f>MIN(1,(D13*0.45)+(MIN(1,F13/'03 Mind Knobs'!$B$21)*0.35)+('04 Resource Body'!$D$11*0.20))</x:f>
        <x:v>0.7216666666666667</x:v>
      </x:c>
      <x:c r="H13" s="12" t="n">
        <x:f>MAX(0,(1-D13)*0.35+('04 Resource Body'!$B$10*0.20))</x:f>
        <x:v>0.03499999999999999</x:v>
      </x:c>
      <x:c r="I13" s="12" t="n">
        <x:f>--(AND(B13&gt;0,C13&gt;0,D13&gt;=0.45,F13&gt;='03 Mind Knobs'!$B$21,G13&gt;='03 Mind Knobs'!$B$22,H13&lt;='03 Mind Knobs'!$B$23))</x:f>
        <x:v>0</x:v>
      </x:c>
      <x:c r="J13" s="12" t="n">
        <x:f>--(AND(I13=0,'03 Mind Knobs'!$B$24=1,B13&gt;0,C13&gt;0,D13&gt;=0.35,G13&gt;=('03 Mind Knobs'!$B$22*0.70)))</x:f>
        <x:v>1</x:v>
      </x:c>
      <x:c r="K13" s="12" t="n">
        <x:f>--(AND(I13=1,M13&gt;=0.75,N13=1))</x:f>
        <x:v>0</x:v>
      </x:c>
      <x:c r="L13" s="12" t="n">
        <x:f>--(AND('03 Mind Knobs'!$B$25=1,OR(I13=1,J13=1,K13=1)))</x:f>
        <x:v>1</x:v>
      </x:c>
      <x:c r="M13" s="12" t="n">
        <x:f>MIN(1,'04 Resource Body'!$F$11+(G13*0.15)+(I13*0.10)+(J13*0.05))</x:f>
        <x:v>1</x:v>
      </x:c>
      <x:c r="N13" s="12" t="n">
        <x:f>--(H13&lt;='03 Mind Knobs'!$B$23)</x:f>
        <x:v>1</x:v>
      </x:c>
    </x:row>
    <x:row r="14">
      <x:c r="A14" t="n">
        <x:f>9</x:f>
        <x:v>9</x:v>
      </x:c>
      <x:c r="B14" s="12" t="n">
        <x:f>MIN(1,(SUMIFS('00 Compact View'!$V$6:$V$205,'00 Compact View'!$A$6:$A$205,A14)+SUMIFS('00 Compact View'!$Y$6:$Y$205,'00 Compact View'!$A$6:$A$205,A14)*2)/20)</x:f>
        <x:v>1</x:v>
      </x:c>
      <x:c r="C14" s="12" t="n">
        <x:f>MIN(1,(SUMIFS('00 Compact View'!$W$6:$W$205,'00 Compact View'!$A$6:$A$205,A14)+SUMIFS('00 Compact View'!$X$6:$X$205,'00 Compact View'!$A$6:$A$205,A14)+SUMIFS('00 Compact View'!$R$6:$R$205,'00 Compact View'!$A$6:$A$205,A14)+SUMIFS('00 Compact View'!$T$6:$T$205,'00 Compact View'!$A$6:$A$205,A14))/40)</x:f>
        <x:v>1</x:v>
      </x:c>
      <x:c r="D14" s="12" t="n">
        <x:f>MIN(1,(B14*0.25)+(C14*0.25)+('04 Resource Body'!$D$11*0.25)+('04 Resource Body'!$F$11*0.25))</x:f>
        <x:v>0.9625</x:v>
      </x:c>
      <x:c r="E14" s="12" t="n">
        <x:f>ROUND(B14*3,0)*100+ROUND(C14*3,0)*10+ROUND(D14*3,0)</x:f>
        <x:v>333</x:v>
      </x:c>
      <x:c r="F14" s="12" t="n">
        <x:f>COUNTIF($E$6:$E$15,E14)</x:f>
        <x:v>3</x:v>
      </x:c>
      <x:c r="G14" s="12" t="n">
        <x:f>MIN(1,(D14*0.45)+(MIN(1,F14/'03 Mind Knobs'!$B$21)*0.35)+('04 Resource Body'!$D$11*0.20))</x:f>
        <x:v>0.983125</x:v>
      </x:c>
      <x:c r="H14" s="12" t="n">
        <x:f>MAX(0,(1-D14)*0.35+('04 Resource Body'!$B$10*0.20))</x:f>
        <x:v>0.01312499999999999</x:v>
      </x:c>
      <x:c r="I14" s="12" t="n">
        <x:f>--(AND(B14&gt;0,C14&gt;0,D14&gt;=0.45,F14&gt;='03 Mind Knobs'!$B$21,G14&gt;='03 Mind Knobs'!$B$22,H14&lt;='03 Mind Knobs'!$B$23))</x:f>
        <x:v>1</x:v>
      </x:c>
      <x:c r="J14" s="12" t="n">
        <x:f>--(AND(I14=0,'03 Mind Knobs'!$B$24=1,B14&gt;0,C14&gt;0,D14&gt;=0.35,G14&gt;=('03 Mind Knobs'!$B$22*0.70)))</x:f>
        <x:v>0</x:v>
      </x:c>
      <x:c r="K14" s="12" t="n">
        <x:f>--(AND(I14=1,M14&gt;=0.75,N14=1))</x:f>
        <x:v>1</x:v>
      </x:c>
      <x:c r="L14" s="12" t="n">
        <x:f>--(AND('03 Mind Knobs'!$B$25=1,OR(I14=1,J14=1,K14=1)))</x:f>
        <x:v>1</x:v>
      </x:c>
      <x:c r="M14" s="12" t="n">
        <x:f>MIN(1,'04 Resource Body'!$F$11+(G14*0.15)+(I14*0.10)+(J14*0.05))</x:f>
        <x:v>1</x:v>
      </x:c>
      <x:c r="N14" s="12" t="n">
        <x:f>--(H14&lt;='03 Mind Knobs'!$B$23)</x:f>
        <x:v>1</x:v>
      </x:c>
    </x:row>
    <x:row r="15">
      <x:c r="A15" t="n">
        <x:f>10</x:f>
        <x:v>10</x:v>
      </x:c>
      <x:c r="B15" s="12" t="n">
        <x:f>MIN(1,(SUMIFS('00 Compact View'!$V$6:$V$205,'00 Compact View'!$A$6:$A$205,A15)+SUMIFS('00 Compact View'!$Y$6:$Y$205,'00 Compact View'!$A$6:$A$205,A15)*2)/20)</x:f>
        <x:v>1</x:v>
      </x:c>
      <x:c r="C15" s="12" t="n">
        <x:f>MIN(1,(SUMIFS('00 Compact View'!$W$6:$W$205,'00 Compact View'!$A$6:$A$205,A15)+SUMIFS('00 Compact View'!$X$6:$X$205,'00 Compact View'!$A$6:$A$205,A15)+SUMIFS('00 Compact View'!$R$6:$R$205,'00 Compact View'!$A$6:$A$205,A15)+SUMIFS('00 Compact View'!$T$6:$T$205,'00 Compact View'!$A$6:$A$205,A15))/40)</x:f>
        <x:v>1</x:v>
      </x:c>
      <x:c r="D15" s="12" t="n">
        <x:f>MIN(1,(B15*0.25)+(C15*0.25)+('04 Resource Body'!$D$11*0.25)+('04 Resource Body'!$F$11*0.25))</x:f>
        <x:v>0.9625</x:v>
      </x:c>
      <x:c r="E15" s="12" t="n">
        <x:f>ROUND(B15*3,0)*100+ROUND(C15*3,0)*10+ROUND(D15*3,0)</x:f>
        <x:v>333</x:v>
      </x:c>
      <x:c r="F15" s="12" t="n">
        <x:f>COUNTIF($E$6:$E$15,E15)</x:f>
        <x:v>3</x:v>
      </x:c>
      <x:c r="G15" s="12" t="n">
        <x:f>MIN(1,(D15*0.45)+(MIN(1,F15/'03 Mind Knobs'!$B$21)*0.35)+('04 Resource Body'!$D$11*0.20))</x:f>
        <x:v>0.983125</x:v>
      </x:c>
      <x:c r="H15" s="12" t="n">
        <x:f>MAX(0,(1-D15)*0.35+('04 Resource Body'!$B$10*0.20))</x:f>
        <x:v>0.01312499999999999</x:v>
      </x:c>
      <x:c r="I15" s="12" t="n">
        <x:f>--(AND(B15&gt;0,C15&gt;0,D15&gt;=0.45,F15&gt;='03 Mind Knobs'!$B$21,G15&gt;='03 Mind Knobs'!$B$22,H15&lt;='03 Mind Knobs'!$B$23))</x:f>
        <x:v>1</x:v>
      </x:c>
      <x:c r="J15" s="12" t="n">
        <x:f>--(AND(I15=0,'03 Mind Knobs'!$B$24=1,B15&gt;0,C15&gt;0,D15&gt;=0.35,G15&gt;=('03 Mind Knobs'!$B$22*0.70)))</x:f>
        <x:v>0</x:v>
      </x:c>
      <x:c r="K15" s="12" t="n">
        <x:f>--(AND(I15=1,M15&gt;=0.75,N15=1))</x:f>
        <x:v>1</x:v>
      </x:c>
      <x:c r="L15" s="12" t="n">
        <x:f>--(AND('03 Mind Knobs'!$B$25=1,OR(I15=1,J15=1,K15=1)))</x:f>
        <x:v>1</x:v>
      </x:c>
      <x:c r="M15" s="12" t="n">
        <x:f>MIN(1,'04 Resource Body'!$F$11+(G15*0.15)+(I15*0.10)+(J15*0.05))</x:f>
        <x:v>1</x:v>
      </x:c>
      <x:c r="N15" s="12" t="n">
        <x:f>--(H15&lt;='03 Mind Knobs'!$B$23)</x:f>
        <x:v>1</x:v>
      </x:c>
    </x:row>
    <x:row r="16">
      <x:c r="A16" t="str">
        <x:v>avg</x:v>
      </x:c>
      <x:c r="B16" s="12" t="n">
        <x:f>AVERAGE(B6:B15)</x:f>
        <x:v>0.45</x:v>
      </x:c>
      <x:c r="C16" s="12" t="n">
        <x:f>AVERAGE(C6:C15)</x:f>
        <x:v>0.525</x:v>
      </x:c>
      <x:c r="D16" s="12" t="n">
        <x:f>AVERAGE(D6:D15)</x:f>
        <x:v>0.70625</x:v>
      </x:c>
      <x:c r="E16" s="12" t="n">
        <x:f>AVERAGE(E6:E15)</x:f>
        <x:v>148.2</x:v>
      </x:c>
      <x:c r="F16" s="12" t="n">
        <x:f>AVERAGE(F6:F15)</x:f>
        <x:v>1.8</x:v>
      </x:c>
      <x:c r="G16" s="12" t="n">
        <x:f>AVERAGE(G6:G15)</x:f>
        <x:v>0.7278125</x:v>
      </x:c>
      <x:c r="H16" s="12" t="n">
        <x:f>AVERAGE(H6:H15)</x:f>
        <x:v>0.1028125</x:v>
      </x:c>
      <x:c r="I16" s="12" t="n">
        <x:f>AVERAGE(I6:I15)</x:f>
        <x:v>0.3</x:v>
      </x:c>
      <x:c r="J16" s="12" t="n">
        <x:f>AVERAGE(J6:J15)</x:f>
        <x:v>0.4</x:v>
      </x:c>
      <x:c r="K16" s="12" t="n">
        <x:f>AVERAGE(K6:K15)</x:f>
        <x:v>0.3</x:v>
      </x:c>
      <x:c r="L16" s="12" t="n">
        <x:f>AVERAGE(L6:L15)</x:f>
        <x:v>0.7</x:v>
      </x:c>
      <x:c r="M16" s="12" t="n">
        <x:f>AVERAGE(M6:M15)</x:f>
        <x:v>0.979190625</x:v>
      </x:c>
      <x:c r="N16" s="12" t="n">
        <x:f>AVERAGE(N6:N15)</x:f>
        <x:v>1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6.440000057220459" hidden="0" customWidth="1"/>
    <x:col min="3" max="3" width="6.440000057220459" hidden="0" customWidth="1"/>
    <x:col min="4" max="4" width="6.440000057220459" hidden="0" customWidth="1"/>
    <x:col min="5" max="5" width="6.440000057220459" hidden="0" customWidth="1"/>
    <x:col min="6" max="6" width="6.440000057220459" hidden="0" customWidth="1"/>
    <x:col min="7" max="7" width="6.440000057220459" hidden="0" customWidth="1"/>
    <x:col min="8" max="8" width="6.440000057220459" hidden="0" customWidth="1"/>
    <x:col min="9" max="9" width="6.440000057220459" hidden="0" customWidth="1"/>
    <x:col min="10" max="10" width="6.440000057220459" hidden="0" customWidth="1"/>
    <x:col min="11" max="11" width="6.440000057220459" hidden="0" customWidth="1"/>
    <x:col min="12" max="12" width="6.440000057220459" hidden="0" customWidth="1"/>
    <x:col min="13" max="13" width="6.440000057220459" hidden="0" customWidth="1"/>
    <x:col min="14" max="14" width="6.440000057220459" hidden="0" customWidth="1"/>
    <x:col min="15" max="15" width="6.440000057220459" hidden="0" customWidth="1"/>
    <x:col min="16" max="16" width="6.440000057220459" hidden="0" customWidth="1"/>
    <x:col min="17" max="17" width="6.440000057220459" hidden="0" customWidth="1"/>
    <x:col min="18" max="18" width="6.440000057220459" hidden="0" customWidth="1"/>
    <x:col min="19" max="19" width="6.440000057220459" hidden="0" customWidth="1"/>
    <x:col min="20" max="20" width="6.440000057220459" hidden="0" customWidth="1"/>
  </x:cols>
  <x:sheetData>
    <x:row r="1" ht="19.5" customHeight="1">
      <x:c r="A1" s="4" t="str">
        <x:v>07 Mode Presets</x:v>
      </x:c>
      <x:c r="B1" s="4" t="str">
        <x:v>07 Mode Presets</x:v>
      </x:c>
      <x:c r="C1" s="4" t="str">
        <x:v>07 Mode Presets</x:v>
      </x:c>
      <x:c r="D1" s="4" t="str">
        <x:v>07 Mode Presets</x:v>
      </x:c>
      <x:c r="E1" s="4" t="str">
        <x:v>07 Mode Presets</x:v>
      </x:c>
      <x:c r="F1" s="4" t="str">
        <x:v>07 Mode Presets</x:v>
      </x:c>
      <x:c r="G1" s="4" t="str">
        <x:v>07 Mode Presets</x:v>
      </x:c>
      <x:c r="H1" s="4" t="str">
        <x:v>07 Mode Presets</x:v>
      </x:c>
      <x:c r="I1" s="4" t="str">
        <x:v>07 Mode Presets</x:v>
      </x:c>
      <x:c r="J1" s="4" t="str">
        <x:v>07 Mode Presets</x:v>
      </x:c>
      <x:c r="K1" s="4" t="str">
        <x:v>07 Mode Presets</x:v>
      </x:c>
      <x:c r="L1" s="4" t="str">
        <x:v>07 Mode Presets</x:v>
      </x:c>
      <x:c r="M1" s="4" t="str">
        <x:v>07 Mode Presets</x:v>
      </x:c>
      <x:c r="N1" s="4" t="str">
        <x:v>07 Mode Presets</x:v>
      </x:c>
      <x:c r="O1" s="4" t="str">
        <x:v>07 Mode Presets</x:v>
      </x:c>
      <x:c r="P1" s="4" t="str">
        <x:v>07 Mode Presets</x:v>
      </x:c>
      <x:c r="Q1" s="4" t="str">
        <x:v>07 Mode Presets</x:v>
      </x:c>
      <x:c r="R1" s="4" t="str">
        <x:v>07 Mode Presets</x:v>
      </x:c>
      <x:c r="S1" s="4" t="str">
        <x:v>07 Mode Presets</x:v>
      </x:c>
      <x:c r="T1" s="4" t="str">
        <x:v>07 Mode Presets</x:v>
      </x:c>
    </x:row>
    <x:row r="2" ht="18" customHeight="1">
      <x:c r="A2" s="6" t="str">
        <x:v>Global modes set grouped defaults. Mind Knobs can still be edited directly.</x:v>
      </x:c>
      <x:c r="B2" s="6" t="str">
        <x:v>Global modes set grouped defaults. Mind Knobs can still be edited directly.</x:v>
      </x:c>
      <x:c r="C2" s="6" t="str">
        <x:v>Global modes set grouped defaults. Mind Knobs can still be edited directly.</x:v>
      </x:c>
      <x:c r="D2" s="6" t="str">
        <x:v>Global modes set grouped defaults. Mind Knobs can still be edited directly.</x:v>
      </x:c>
      <x:c r="E2" s="6" t="str">
        <x:v>Global modes set grouped defaults. Mind Knobs can still be edited directly.</x:v>
      </x:c>
      <x:c r="F2" s="6" t="str">
        <x:v>Global modes set grouped defaults. Mind Knobs can still be edited directly.</x:v>
      </x:c>
      <x:c r="G2" s="6" t="str">
        <x:v>Global modes set grouped defaults. Mind Knobs can still be edited directly.</x:v>
      </x:c>
      <x:c r="H2" s="6" t="str">
        <x:v>Global modes set grouped defaults. Mind Knobs can still be edited directly.</x:v>
      </x:c>
      <x:c r="I2" s="6" t="str">
        <x:v>Global modes set grouped defaults. Mind Knobs can still be edited directly.</x:v>
      </x:c>
      <x:c r="J2" s="6" t="str">
        <x:v>Global modes set grouped defaults. Mind Knobs can still be edited directly.</x:v>
      </x:c>
      <x:c r="K2" s="6" t="str">
        <x:v>Global modes set grouped defaults. Mind Knobs can still be edited directly.</x:v>
      </x:c>
      <x:c r="L2" s="6" t="str">
        <x:v>Global modes set grouped defaults. Mind Knobs can still be edited directly.</x:v>
      </x:c>
      <x:c r="M2" s="6" t="str">
        <x:v>Global modes set grouped defaults. Mind Knobs can still be edited directly.</x:v>
      </x:c>
      <x:c r="N2" s="6" t="str">
        <x:v>Global modes set grouped defaults. Mind Knobs can still be edited directly.</x:v>
      </x:c>
      <x:c r="O2" s="6" t="str">
        <x:v>Global modes set grouped defaults. Mind Knobs can still be edited directly.</x:v>
      </x:c>
      <x:c r="P2" s="6" t="str">
        <x:v>Global modes set grouped defaults. Mind Knobs can still be edited directly.</x:v>
      </x:c>
      <x:c r="Q2" s="6" t="str">
        <x:v>Global modes set grouped defaults. Mind Knobs can still be edited directly.</x:v>
      </x:c>
      <x:c r="R2" s="6" t="str">
        <x:v>Global modes set grouped defaults. Mind Knobs can still be edited directly.</x:v>
      </x:c>
      <x:c r="S2" s="6" t="str">
        <x:v>Global modes set grouped defaults. Mind Knobs can still be edited directly.</x:v>
      </x:c>
      <x:c r="T2" s="6" t="str">
        <x:v>Global modes set grouped defaults. Mind Knobs can still be edited directly.</x:v>
      </x:c>
    </x:row>
    <x:row r="5">
      <x:c r="A5" s="9" t="str">
        <x:v>id</x:v>
      </x:c>
      <x:c r="B5" s="10" t="str">
        <x:v>mode</x:v>
      </x:c>
      <x:c r="C5" s="10" t="str">
        <x:v>nov</x:v>
      </x:c>
      <x:c r="D5" s="10" t="str">
        <x:v>em</x:v>
      </x:c>
      <x:c r="E5" s="10" t="str">
        <x:v>win</x:v>
      </x:c>
      <x:c r="F5" s="10" t="str">
        <x:v>res</x:v>
      </x:c>
      <x:c r="G5" s="10" t="str">
        <x:v>cur_bud</x:v>
      </x:c>
      <x:c r="H5" s="10" t="str">
        <x:v>inner</x:v>
      </x:c>
      <x:c r="I5" s="10" t="str">
        <x:v>curiosity</x:v>
      </x:c>
      <x:c r="J5" s="10" t="str">
        <x:v>emwin</x:v>
      </x:c>
      <x:c r="K5" s="10" t="str">
        <x:v>xw</x:v>
      </x:c>
      <x:c r="L5" s="10" t="str">
        <x:v>aw</x:v>
      </x:c>
      <x:c r="M5" s="10" t="str">
        <x:v>prom</x:v>
      </x:c>
      <x:c r="N5" s="10" t="str">
        <x:v>eff</x:v>
      </x:c>
      <x:c r="O5" s="10" t="str">
        <x:v>rep</x:v>
      </x:c>
      <x:c r="P5" s="10" t="str">
        <x:v>conf</x:v>
      </x:c>
      <x:c r="Q5" s="10" t="str">
        <x:v>fail</x:v>
      </x:c>
      <x:c r="R5" s="10" t="str">
        <x:v>partial</x:v>
      </x:c>
      <x:c r="S5" s="10" t="str">
        <x:v>audit</x:v>
      </x:c>
      <x:c r="T5" s="11" t="str">
        <x:v>mismatch</x:v>
      </x:c>
    </x:row>
    <x:row r="6">
      <x:c r="A6" t="n">
        <x:v>1</x:v>
      </x:c>
      <x:c r="B6" t="str">
        <x:v>calm</x:v>
      </x:c>
      <x:c r="C6" s="12" t="n">
        <x:v>0.3</x:v>
      </x:c>
      <x:c r="D6" s="12" t="n">
        <x:v>0.35</x:v>
      </x:c>
      <x:c r="E6" s="12" t="n">
        <x:v>12</x:v>
      </x:c>
      <x:c r="F6" s="12" t="n">
        <x:v>0.25</x:v>
      </x:c>
      <x:c r="G6" s="12" t="n">
        <x:v>0.35</x:v>
      </x:c>
      <x:c r="H6" s="12" t="n">
        <x:v>0.55</x:v>
      </x:c>
      <x:c r="I6" s="12" t="n">
        <x:v>0.2</x:v>
      </x:c>
      <x:c r="J6" s="12" t="n">
        <x:v>12</x:v>
      </x:c>
      <x:c r="K6" s="12" t="n">
        <x:v>0.35</x:v>
      </x:c>
      <x:c r="L6" s="12" t="n">
        <x:v>0.45</x:v>
      </x:c>
      <x:c r="M6" s="12" t="n">
        <x:v>0.65</x:v>
      </x:c>
      <x:c r="N6" s="12" t="n">
        <x:v>0.75</x:v>
      </x:c>
      <x:c r="O6" s="12" t="n">
        <x:v>4</x:v>
      </x:c>
      <x:c r="P6" s="12" t="n">
        <x:v>0.85</x:v>
      </x:c>
      <x:c r="Q6" s="12" t="n">
        <x:v>0.15</x:v>
      </x:c>
      <x:c r="R6" s="12" t="n">
        <x:v>1</x:v>
      </x:c>
      <x:c r="S6" s="12" t="n">
        <x:v>1</x:v>
      </x:c>
      <x:c r="T6" s="12" t="n">
        <x:v>0.7</x:v>
      </x:c>
    </x:row>
    <x:row r="7">
      <x:c r="A7" t="n">
        <x:v>2</x:v>
      </x:c>
      <x:c r="B7" t="str">
        <x:v>curious</x:v>
      </x:c>
      <x:c r="C7" s="12" t="n">
        <x:v>0.7</x:v>
      </x:c>
      <x:c r="D7" s="12" t="n">
        <x:v>0.5</x:v>
      </x:c>
      <x:c r="E7" s="12" t="n">
        <x:v>10</x:v>
      </x:c>
      <x:c r="F7" s="12" t="n">
        <x:v>0.4</x:v>
      </x:c>
      <x:c r="G7" s="12" t="n">
        <x:v>0.7</x:v>
      </x:c>
      <x:c r="H7" s="12" t="n">
        <x:v>0.5</x:v>
      </x:c>
      <x:c r="I7" s="12" t="n">
        <x:v>0.3</x:v>
      </x:c>
      <x:c r="J7" s="12" t="n">
        <x:v>10</x:v>
      </x:c>
      <x:c r="K7" s="12" t="n">
        <x:v>0.5</x:v>
      </x:c>
      <x:c r="L7" s="12" t="n">
        <x:v>0.7</x:v>
      </x:c>
      <x:c r="M7" s="12" t="n">
        <x:v>0.55</x:v>
      </x:c>
      <x:c r="N7" s="12" t="n">
        <x:v>0.85</x:v>
      </x:c>
      <x:c r="O7" s="12" t="n">
        <x:v>3</x:v>
      </x:c>
      <x:c r="P7" s="12" t="n">
        <x:v>0.8</x:v>
      </x:c>
      <x:c r="Q7" s="12" t="n">
        <x:v>0.2</x:v>
      </x:c>
      <x:c r="R7" s="12" t="n">
        <x:v>1</x:v>
      </x:c>
      <x:c r="S7" s="12" t="n">
        <x:v>1</x:v>
      </x:c>
      <x:c r="T7" s="12" t="n">
        <x:v>0.6</x:v>
      </x:c>
    </x:row>
    <x:row r="8">
      <x:c r="A8" t="n">
        <x:v>3</x:v>
      </x:c>
      <x:c r="B8" t="str">
        <x:v>focused</x:v>
      </x:c>
      <x:c r="C8" s="12" t="n">
        <x:v>0.35</x:v>
      </x:c>
      <x:c r="D8" s="12" t="n">
        <x:v>0.45</x:v>
      </x:c>
      <x:c r="E8" s="12" t="n">
        <x:v>8</x:v>
      </x:c>
      <x:c r="F8" s="12" t="n">
        <x:v>0.5</x:v>
      </x:c>
      <x:c r="G8" s="12" t="n">
        <x:v>0.3</x:v>
      </x:c>
      <x:c r="H8" s="12" t="n">
        <x:v>0.65</x:v>
      </x:c>
      <x:c r="I8" s="12" t="n">
        <x:v>0.15</x:v>
      </x:c>
      <x:c r="J8" s="12" t="n">
        <x:v>10</x:v>
      </x:c>
      <x:c r="K8" s="12" t="n">
        <x:v>0.4</x:v>
      </x:c>
      <x:c r="L8" s="12" t="n">
        <x:v>0.55</x:v>
      </x:c>
      <x:c r="M8" s="12" t="n">
        <x:v>0.6</x:v>
      </x:c>
      <x:c r="N8" s="12" t="n">
        <x:v>0.9</x:v>
      </x:c>
      <x:c r="O8" s="12" t="n">
        <x:v>3</x:v>
      </x:c>
      <x:c r="P8" s="12" t="n">
        <x:v>0.85</x:v>
      </x:c>
      <x:c r="Q8" s="12" t="n">
        <x:v>0.15</x:v>
      </x:c>
      <x:c r="R8" s="12" t="n">
        <x:v>1</x:v>
      </x:c>
      <x:c r="S8" s="12" t="n">
        <x:v>1</x:v>
      </x:c>
      <x:c r="T8" s="12" t="n">
        <x:v>0.65</x:v>
      </x:c>
    </x:row>
    <x:row r="9">
      <x:c r="A9" t="n">
        <x:v>4</x:v>
      </x:c>
      <x:c r="B9" t="str">
        <x:v>strained</x:v>
      </x:c>
      <x:c r="C9" s="12" t="n">
        <x:v>0.2</x:v>
      </x:c>
      <x:c r="D9" s="12" t="n">
        <x:v>0.55</x:v>
      </x:c>
      <x:c r="E9" s="12" t="n">
        <x:v>6</x:v>
      </x:c>
      <x:c r="F9" s="12" t="n">
        <x:v>0.8</x:v>
      </x:c>
      <x:c r="G9" s="12" t="n">
        <x:v>0.15</x:v>
      </x:c>
      <x:c r="H9" s="12" t="n">
        <x:v>0.45</x:v>
      </x:c>
      <x:c r="I9" s="12" t="n">
        <x:v>0.1</x:v>
      </x:c>
      <x:c r="J9" s="12" t="n">
        <x:v>8</x:v>
      </x:c>
      <x:c r="K9" s="12" t="n">
        <x:v>0.45</x:v>
      </x:c>
      <x:c r="L9" s="12" t="n">
        <x:v>0.45</x:v>
      </x:c>
      <x:c r="M9" s="12" t="n">
        <x:v>0.75</x:v>
      </x:c>
      <x:c r="N9" s="12" t="n">
        <x:v>0.95</x:v>
      </x:c>
      <x:c r="O9" s="12" t="n">
        <x:v>2</x:v>
      </x:c>
      <x:c r="P9" s="12" t="n">
        <x:v>0.75</x:v>
      </x:c>
      <x:c r="Q9" s="12" t="n">
        <x:v>0.1</x:v>
      </x:c>
      <x:c r="R9" s="12" t="n">
        <x:v>1</x:v>
      </x:c>
      <x:c r="S9" s="12" t="n">
        <x:v>1</x:v>
      </x:c>
      <x:c r="T9" s="12" t="n">
        <x:v>0.75</x:v>
      </x:c>
    </x:row>
    <x:row r="10">
      <x:c r="A10" t="n">
        <x:v>5</x:v>
      </x:c>
      <x:c r="B10" t="str">
        <x:v>danger</x:v>
      </x:c>
      <x:c r="C10" s="12" t="n">
        <x:v>0.65</x:v>
      </x:c>
      <x:c r="D10" s="12" t="n">
        <x:v>0.9</x:v>
      </x:c>
      <x:c r="E10" s="12" t="n">
        <x:v>4</x:v>
      </x:c>
      <x:c r="F10" s="12" t="n">
        <x:v>0.65</x:v>
      </x:c>
      <x:c r="G10" s="12" t="n">
        <x:v>0.2</x:v>
      </x:c>
      <x:c r="H10" s="12" t="n">
        <x:v>0.2</x:v>
      </x:c>
      <x:c r="I10" s="12" t="n">
        <x:v>0.05</x:v>
      </x:c>
      <x:c r="J10" s="12" t="n">
        <x:v>5</x:v>
      </x:c>
      <x:c r="K10" s="12" t="n">
        <x:v>0.75</x:v>
      </x:c>
      <x:c r="L10" s="12" t="n">
        <x:v>0.85</x:v>
      </x:c>
      <x:c r="M10" s="12" t="n">
        <x:v>0.45</x:v>
      </x:c>
      <x:c r="N10" s="12" t="n">
        <x:v>1</x:v>
      </x:c>
      <x:c r="O10" s="12" t="n">
        <x:v>1</x:v>
      </x:c>
      <x:c r="P10" s="12" t="n">
        <x:v>0.65</x:v>
      </x:c>
      <x:c r="Q10" s="12" t="n">
        <x:v>0.05</x:v>
      </x:c>
      <x:c r="R10" s="12" t="n">
        <x:v>1</x:v>
      </x:c>
      <x:c r="S10" s="12" t="n">
        <x:v>1</x:v>
      </x:c>
      <x:c r="T10" s="12" t="n">
        <x:v>0.35</x:v>
      </x:c>
    </x:row>
    <x:row r="11">
      <x:c r="A11" t="n">
        <x:v>6</x:v>
      </x:c>
      <x:c r="B11" t="str">
        <x:v>recovery</x:v>
      </x:c>
      <x:c r="C11" s="12" t="n">
        <x:v>0.25</x:v>
      </x:c>
      <x:c r="D11" s="12" t="n">
        <x:v>0.45</x:v>
      </x:c>
      <x:c r="E11" s="12" t="n">
        <x:v>14</x:v>
      </x:c>
      <x:c r="F11" s="12" t="n">
        <x:v>0.7</x:v>
      </x:c>
      <x:c r="G11" s="12" t="n">
        <x:v>0.2</x:v>
      </x:c>
      <x:c r="H11" s="12" t="n">
        <x:v>0.6</x:v>
      </x:c>
      <x:c r="I11" s="12" t="n">
        <x:v>0.1</x:v>
      </x:c>
      <x:c r="J11" s="12" t="n">
        <x:v>12</x:v>
      </x:c>
      <x:c r="K11" s="12" t="n">
        <x:v>0.3</x:v>
      </x:c>
      <x:c r="L11" s="12" t="n">
        <x:v>0.35</x:v>
      </x:c>
      <x:c r="M11" s="12" t="n">
        <x:v>0.8</x:v>
      </x:c>
      <x:c r="N11" s="12" t="n">
        <x:v>0.9</x:v>
      </x:c>
      <x:c r="O11" s="12" t="n">
        <x:v>4</x:v>
      </x:c>
      <x:c r="P11" s="12" t="n">
        <x:v>0.8</x:v>
      </x:c>
      <x:c r="Q11" s="12" t="n">
        <x:v>0.2</x:v>
      </x:c>
      <x:c r="R11" s="12" t="n">
        <x:v>1</x:v>
      </x:c>
      <x:c r="S11" s="12" t="n">
        <x:v>1</x:v>
      </x:c>
      <x:c r="T11" s="12" t="n">
        <x:v>0.7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1999979019165" hidden="0" customWidth="1"/>
    <x:col min="2" max="2" width="6.21999979019165" hidden="0" customWidth="1"/>
    <x:col min="3" max="3" width="6.21999979019165" hidden="0" customWidth="1"/>
    <x:col min="4" max="4" width="6.21999979019165" hidden="0" customWidth="1"/>
    <x:col min="5" max="5" width="6.21999979019165" hidden="0" customWidth="1"/>
    <x:col min="6" max="6" width="6.21999979019165" hidden="0" customWidth="1"/>
    <x:col min="7" max="7" width="6.21999979019165" hidden="0" customWidth="1"/>
    <x:col min="8" max="8" width="6.21999979019165" hidden="0" customWidth="1"/>
    <x:col min="9" max="9" width="6.21999979019165" hidden="0" customWidth="1"/>
    <x:col min="10" max="10" width="6.21999979019165" hidden="0" customWidth="1"/>
    <x:col min="11" max="11" width="6.21999979019165" hidden="0" customWidth="1"/>
    <x:col min="12" max="12" width="6.21999979019165" hidden="0" customWidth="1"/>
    <x:col min="13" max="13" width="6.21999979019165" hidden="0" customWidth="1"/>
    <x:col min="14" max="14" width="6.21999979019165" hidden="0" customWidth="1"/>
    <x:col min="15" max="15" width="6.21999979019165" hidden="0" customWidth="1"/>
    <x:col min="16" max="16" width="6.21999979019165" hidden="0" customWidth="1"/>
    <x:col min="17" max="17" width="6.21999979019165" hidden="0" customWidth="1"/>
    <x:col min="18" max="18" width="6.21999979019165" hidden="0" customWidth="1"/>
  </x:cols>
  <x:sheetData>
    <x:row r="1" ht="19.5" customHeight="1">
      <x:c r="A1" s="4" t="str">
        <x:v>08 Summary</x:v>
      </x:c>
      <x:c r="B1" s="4" t="str">
        <x:v>08 Summary</x:v>
      </x:c>
      <x:c r="C1" s="4" t="str">
        <x:v>08 Summary</x:v>
      </x:c>
      <x:c r="D1" s="4" t="str">
        <x:v>08 Summary</x:v>
      </x:c>
      <x:c r="E1" s="4" t="str">
        <x:v>08 Summary</x:v>
      </x:c>
      <x:c r="F1" s="4" t="str">
        <x:v>08 Summary</x:v>
      </x:c>
      <x:c r="G1" s="4" t="str">
        <x:v>08 Summary</x:v>
      </x:c>
      <x:c r="H1" s="4" t="str">
        <x:v>08 Summary</x:v>
      </x:c>
      <x:c r="I1" s="4" t="str">
        <x:v>08 Summary</x:v>
      </x:c>
      <x:c r="J1" s="4" t="str">
        <x:v>08 Summary</x:v>
      </x:c>
      <x:c r="K1" s="4" t="str">
        <x:v>08 Summary</x:v>
      </x:c>
      <x:c r="L1" s="4" t="str">
        <x:v>08 Summary</x:v>
      </x:c>
      <x:c r="M1" s="4" t="str">
        <x:v>08 Summary</x:v>
      </x:c>
      <x:c r="N1" s="4" t="str">
        <x:v>08 Summary</x:v>
      </x:c>
      <x:c r="O1" s="4" t="str">
        <x:v>08 Summary</x:v>
      </x:c>
      <x:c r="P1" s="4" t="str">
        <x:v>08 Summary</x:v>
      </x:c>
      <x:c r="Q1" s="4" t="str">
        <x:v>08 Summary</x:v>
      </x:c>
      <x:c r="R1" s="4" t="str">
        <x:v>08 Summary</x:v>
      </x:c>
    </x:row>
    <x:row r="2" ht="18" customHeight="1">
      <x:c r="A2" s="6" t="str">
        <x:v>Compact sample-level numeric summary with resource, habit, and efficiency outputs.</x:v>
      </x:c>
      <x:c r="B2" s="6" t="str">
        <x:v>Compact sample-level numeric summary with resource, habit, and efficiency outputs.</x:v>
      </x:c>
      <x:c r="C2" s="6" t="str">
        <x:v>Compact sample-level numeric summary with resource, habit, and efficiency outputs.</x:v>
      </x:c>
      <x:c r="D2" s="6" t="str">
        <x:v>Compact sample-level numeric summary with resource, habit, and efficiency outputs.</x:v>
      </x:c>
      <x:c r="E2" s="6" t="str">
        <x:v>Compact sample-level numeric summary with resource, habit, and efficiency outputs.</x:v>
      </x:c>
      <x:c r="F2" s="6" t="str">
        <x:v>Compact sample-level numeric summary with resource, habit, and efficiency outputs.</x:v>
      </x:c>
      <x:c r="G2" s="6" t="str">
        <x:v>Compact sample-level numeric summary with resource, habit, and efficiency outputs.</x:v>
      </x:c>
      <x:c r="H2" s="6" t="str">
        <x:v>Compact sample-level numeric summary with resource, habit, and efficiency outputs.</x:v>
      </x:c>
      <x:c r="I2" s="6" t="str">
        <x:v>Compact sample-level numeric summary with resource, habit, and efficiency outputs.</x:v>
      </x:c>
      <x:c r="J2" s="6" t="str">
        <x:v>Compact sample-level numeric summary with resource, habit, and efficiency outputs.</x:v>
      </x:c>
      <x:c r="K2" s="6" t="str">
        <x:v>Compact sample-level numeric summary with resource, habit, and efficiency outputs.</x:v>
      </x:c>
      <x:c r="L2" s="6" t="str">
        <x:v>Compact sample-level numeric summary with resource, habit, and efficiency outputs.</x:v>
      </x:c>
      <x:c r="M2" s="6" t="str">
        <x:v>Compact sample-level numeric summary with resource, habit, and efficiency outputs.</x:v>
      </x:c>
      <x:c r="N2" s="6" t="str">
        <x:v>Compact sample-level numeric summary with resource, habit, and efficiency outputs.</x:v>
      </x:c>
      <x:c r="O2" s="6" t="str">
        <x:v>Compact sample-level numeric summary with resource, habit, and efficiency outputs.</x:v>
      </x:c>
      <x:c r="P2" s="6" t="str">
        <x:v>Compact sample-level numeric summary with resource, habit, and efficiency outputs.</x:v>
      </x:c>
      <x:c r="Q2" s="6" t="str">
        <x:v>Compact sample-level numeric summary with resource, habit, and efficiency outputs.</x:v>
      </x:c>
      <x:c r="R2" s="6" t="str">
        <x:v>Compact sample-level numeric summary with resource, habit, and efficiency outputs.</x:v>
      </x:c>
    </x:row>
    <x:row r="5">
      <x:c r="A5" s="9" t="str">
        <x:v>sample</x:v>
      </x:c>
      <x:c r="B5" s="10" t="str">
        <x:v>n</x:v>
      </x:c>
      <x:c r="C5" s="10" t="str">
        <x:v>d</x:v>
      </x:c>
      <x:c r="D5" s="10" t="str">
        <x:v>x</x:v>
      </x:c>
      <x:c r="E5" s="10" t="str">
        <x:v>c</x:v>
      </x:c>
      <x:c r="F5" s="10" t="str">
        <x:v>a</x:v>
      </x:c>
      <x:c r="G5" s="10" t="str">
        <x:v>watch</x:v>
      </x:c>
      <x:c r="H5" s="10" t="str">
        <x:v>prom</x:v>
      </x:c>
      <x:c r="I5" s="10" t="str">
        <x:v>ep</x:v>
      </x:c>
      <x:c r="J5" s="10" t="str">
        <x:v>emerg</x:v>
      </x:c>
      <x:c r="K5" s="10" t="str">
        <x:v>up</x:v>
      </x:c>
      <x:c r="L5" s="10" t="str">
        <x:v>res</x:v>
      </x:c>
      <x:c r="M5" s="10" t="str">
        <x:v>homeo</x:v>
      </x:c>
      <x:c r="N5" s="10" t="str">
        <x:v>eff</x:v>
      </x:c>
      <x:c r="O5" s="10" t="str">
        <x:v>handoff</x:v>
      </x:c>
      <x:c r="P5" s="10" t="str">
        <x:v>partial</x:v>
      </x:c>
      <x:c r="Q5" s="10" t="str">
        <x:v>auto</x:v>
      </x:c>
      <x:c r="R5" s="11" t="str">
        <x:v>audit</x:v>
      </x:c>
    </x:row>
    <x:row r="6">
      <x:c r="A6" t="n">
        <x:f>1</x:f>
        <x:v>1</x:v>
      </x:c>
      <x:c r="B6" s="12" t="n">
        <x:f>(SUMIFS('00 Compact View'!$H$6:$H$205,'00 Compact View'!$A$6:$A$205,A6)+SUMIFS('00 Compact View'!$I$6:$I$205,'00 Compact View'!$A$6:$A$205,A6)+SUMIFS('00 Compact View'!$J$6:$J$205,'00 Compact View'!$A$6:$A$205,A6)+SUMIFS('00 Compact View'!$K$6:$K$205,'00 Compact View'!$A$6:$A$205,A6)+SUMIFS('00 Compact View'!$L$6:$L$205,'00 Compact View'!$A$6:$A$205,A6))/100</x:f>
        <x:v>0</x:v>
      </x:c>
      <x:c r="C6" s="12" t="n">
        <x:f>(SUMIFS('00 Compact View'!$M$6:$M$205,'00 Compact View'!$A$6:$A$205,A6)+SUMIFS('00 Compact View'!$N$6:$N$205,'00 Compact View'!$A$6:$A$205,A6)+SUMIFS('00 Compact View'!$O$6:$O$205,'00 Compact View'!$A$6:$A$205,A6)+SUMIFS('00 Compact View'!$P$6:$P$205,'00 Compact View'!$A$6:$A$205,A6)+SUMIFS('00 Compact View'!$Q$6:$Q$205,'00 Compact View'!$A$6:$A$205,A6))/100</x:f>
        <x:v>0</x:v>
      </x:c>
      <x:c r="D6" s="12" t="n">
        <x:f>SUMIFS('00 Compact View'!$R$6:$R$205,'00 Compact View'!$A$6:$A$205,A6)/20</x:f>
        <x:v>0</x:v>
      </x:c>
      <x:c r="E6" s="12" t="n">
        <x:f>AVERAGEIF('00 Compact View'!$A$6:$A$205,A6,'00 Compact View'!$S$6:$S$205)</x:f>
        <x:v>0</x:v>
      </x:c>
      <x:c r="F6" s="12" t="n">
        <x:f>SUMIFS('00 Compact View'!$T$6:$T$205,'00 Compact View'!$A$6:$A$205,A6)/20</x:f>
        <x:v>0</x:v>
      </x:c>
      <x:c r="G6" s="12" t="n">
        <x:f>SUMIFS('00 Compact View'!$V$6:$V$205,'00 Compact View'!$A$6:$A$205,A6)/20</x:f>
        <x:v>0</x:v>
      </x:c>
      <x:c r="H6" s="12" t="n">
        <x:f>SUMIFS('00 Compact View'!$W$6:$W$205,'00 Compact View'!$A$6:$A$205,A6)/20</x:f>
        <x:v>0</x:v>
      </x:c>
      <x:c r="I6" s="12" t="n">
        <x:f>SUMIFS('00 Compact View'!$X$6:$X$205,'00 Compact View'!$A$6:$A$205,A6)/20</x:f>
        <x:v>0</x:v>
      </x:c>
      <x:c r="J6" s="12" t="n">
        <x:f>SUMIFS('00 Compact View'!$Y$6:$Y$205,'00 Compact View'!$A$6:$A$205,A6)/20</x:f>
        <x:v>0</x:v>
      </x:c>
      <x:c r="K6" s="12" t="n">
        <x:f>SUMIFS('00 Compact View'!$Z$6:$Z$205,'00 Compact View'!$A$6:$A$205,A6)/20</x:f>
        <x:v>0</x:v>
      </x:c>
      <x:c r="L6" s="12" t="n">
        <x:f>'04 Resource Body'!$B$10</x:f>
        <x:v>0</x:v>
      </x:c>
      <x:c r="M6" s="12" t="n">
        <x:f>'04 Resource Body'!$D$11</x:f>
        <x:v>1</x:v>
      </x:c>
      <x:c r="N6" s="12" t="n">
        <x:f>INDEX('06 Habit Efficiency'!$M$6:$M$15,A6)</x:f>
        <x:v>0.94621875</x:v>
      </x:c>
      <x:c r="O6" s="12" t="n">
        <x:f>INDEX('06 Habit Efficiency'!$I$6:$I$15,A6)</x:f>
        <x:v>0</x:v>
      </x:c>
      <x:c r="P6" s="12" t="n">
        <x:f>INDEX('06 Habit Efficiency'!$J$6:$J$15,A6)</x:f>
        <x:v>0</x:v>
      </x:c>
      <x:c r="Q6" s="12" t="n">
        <x:f>INDEX('06 Habit Efficiency'!$K$6:$K$15,A6)</x:f>
        <x:v>0</x:v>
      </x:c>
      <x:c r="R6" s="12" t="n">
        <x:f>INDEX('06 Habit Efficiency'!$L$6:$L$15,A6)</x:f>
        <x:v>0</x:v>
      </x:c>
    </x:row>
    <x:row r="7">
      <x:c r="A7" t="n">
        <x:f>2</x:f>
        <x:v>2</x:v>
      </x:c>
      <x:c r="B7" s="12" t="n">
        <x:f>(SUMIFS('00 Compact View'!$H$6:$H$205,'00 Compact View'!$A$6:$A$205,A7)+SUMIFS('00 Compact View'!$I$6:$I$205,'00 Compact View'!$A$6:$A$205,A7)+SUMIFS('00 Compact View'!$J$6:$J$205,'00 Compact View'!$A$6:$A$205,A7)+SUMIFS('00 Compact View'!$K$6:$K$205,'00 Compact View'!$A$6:$A$205,A7)+SUMIFS('00 Compact View'!$L$6:$L$205,'00 Compact View'!$A$6:$A$205,A7))/100</x:f>
        <x:v>0</x:v>
      </x:c>
      <x:c r="C7" s="12" t="n">
        <x:f>(SUMIFS('00 Compact View'!$M$6:$M$205,'00 Compact View'!$A$6:$A$205,A7)+SUMIFS('00 Compact View'!$N$6:$N$205,'00 Compact View'!$A$6:$A$205,A7)+SUMIFS('00 Compact View'!$O$6:$O$205,'00 Compact View'!$A$6:$A$205,A7)+SUMIFS('00 Compact View'!$P$6:$P$205,'00 Compact View'!$A$6:$A$205,A7)+SUMIFS('00 Compact View'!$Q$6:$Q$205,'00 Compact View'!$A$6:$A$205,A7))/100</x:f>
        <x:v>0</x:v>
      </x:c>
      <x:c r="D7" s="12" t="n">
        <x:f>SUMIFS('00 Compact View'!$R$6:$R$205,'00 Compact View'!$A$6:$A$205,A7)/20</x:f>
        <x:v>0</x:v>
      </x:c>
      <x:c r="E7" s="12" t="n">
        <x:f>AVERAGEIF('00 Compact View'!$A$6:$A$205,A7,'00 Compact View'!$S$6:$S$205)</x:f>
        <x:v>0</x:v>
      </x:c>
      <x:c r="F7" s="12" t="n">
        <x:f>SUMIFS('00 Compact View'!$T$6:$T$205,'00 Compact View'!$A$6:$A$205,A7)/20</x:f>
        <x:v>0</x:v>
      </x:c>
      <x:c r="G7" s="12" t="n">
        <x:f>SUMIFS('00 Compact View'!$V$6:$V$205,'00 Compact View'!$A$6:$A$205,A7)/20</x:f>
        <x:v>0</x:v>
      </x:c>
      <x:c r="H7" s="12" t="n">
        <x:f>SUMIFS('00 Compact View'!$W$6:$W$205,'00 Compact View'!$A$6:$A$205,A7)/20</x:f>
        <x:v>0</x:v>
      </x:c>
      <x:c r="I7" s="12" t="n">
        <x:f>SUMIFS('00 Compact View'!$X$6:$X$205,'00 Compact View'!$A$6:$A$205,A7)/20</x:f>
        <x:v>0</x:v>
      </x:c>
      <x:c r="J7" s="12" t="n">
        <x:f>SUMIFS('00 Compact View'!$Y$6:$Y$205,'00 Compact View'!$A$6:$A$205,A7)/20</x:f>
        <x:v>0</x:v>
      </x:c>
      <x:c r="K7" s="12" t="n">
        <x:f>SUMIFS('00 Compact View'!$Z$6:$Z$205,'00 Compact View'!$A$6:$A$205,A7)/20</x:f>
        <x:v>0</x:v>
      </x:c>
      <x:c r="L7" s="12" t="n">
        <x:f>'04 Resource Body'!$B$10</x:f>
        <x:v>0</x:v>
      </x:c>
      <x:c r="M7" s="12" t="n">
        <x:f>'04 Resource Body'!$D$11</x:f>
        <x:v>1</x:v>
      </x:c>
      <x:c r="N7" s="12" t="n">
        <x:f>INDEX('06 Habit Efficiency'!$M$6:$M$15,A7)</x:f>
        <x:v>0.94621875</x:v>
      </x:c>
      <x:c r="O7" s="12" t="n">
        <x:f>INDEX('06 Habit Efficiency'!$I$6:$I$15,A7)</x:f>
        <x:v>0</x:v>
      </x:c>
      <x:c r="P7" s="12" t="n">
        <x:f>INDEX('06 Habit Efficiency'!$J$6:$J$15,A7)</x:f>
        <x:v>0</x:v>
      </x:c>
      <x:c r="Q7" s="12" t="n">
        <x:f>INDEX('06 Habit Efficiency'!$K$6:$K$15,A7)</x:f>
        <x:v>0</x:v>
      </x:c>
      <x:c r="R7" s="12" t="n">
        <x:f>INDEX('06 Habit Efficiency'!$L$6:$L$15,A7)</x:f>
        <x:v>0</x:v>
      </x:c>
    </x:row>
    <x:row r="8">
      <x:c r="A8" t="n">
        <x:f>3</x:f>
        <x:v>3</x:v>
      </x:c>
      <x:c r="B8" s="12" t="n">
        <x:f>(SUMIFS('00 Compact View'!$H$6:$H$205,'00 Compact View'!$A$6:$A$205,A8)+SUMIFS('00 Compact View'!$I$6:$I$205,'00 Compact View'!$A$6:$A$205,A8)+SUMIFS('00 Compact View'!$J$6:$J$205,'00 Compact View'!$A$6:$A$205,A8)+SUMIFS('00 Compact View'!$K$6:$K$205,'00 Compact View'!$A$6:$A$205,A8)+SUMIFS('00 Compact View'!$L$6:$L$205,'00 Compact View'!$A$6:$A$205,A8))/100</x:f>
        <x:v>0.01</x:v>
      </x:c>
      <x:c r="C8" s="12" t="n">
        <x:f>(SUMIFS('00 Compact View'!$M$6:$M$205,'00 Compact View'!$A$6:$A$205,A8)+SUMIFS('00 Compact View'!$N$6:$N$205,'00 Compact View'!$A$6:$A$205,A8)+SUMIFS('00 Compact View'!$O$6:$O$205,'00 Compact View'!$A$6:$A$205,A8)+SUMIFS('00 Compact View'!$P$6:$P$205,'00 Compact View'!$A$6:$A$205,A8)+SUMIFS('00 Compact View'!$Q$6:$Q$205,'00 Compact View'!$A$6:$A$205,A8))/100</x:f>
        <x:v>0.02</x:v>
      </x:c>
      <x:c r="D8" s="12" t="n">
        <x:f>SUMIFS('00 Compact View'!$R$6:$R$205,'00 Compact View'!$A$6:$A$205,A8)/20</x:f>
        <x:v>0</x:v>
      </x:c>
      <x:c r="E8" s="12" t="n">
        <x:f>AVERAGEIF('00 Compact View'!$A$6:$A$205,A8,'00 Compact View'!$S$6:$S$205)</x:f>
        <x:v>0.016666666666666666</x:v>
      </x:c>
      <x:c r="F8" s="12" t="n">
        <x:f>SUMIFS('00 Compact View'!$T$6:$T$205,'00 Compact View'!$A$6:$A$205,A8)/20</x:f>
        <x:v>0.1</x:v>
      </x:c>
      <x:c r="G8" s="12" t="n">
        <x:f>SUMIFS('00 Compact View'!$V$6:$V$205,'00 Compact View'!$A$6:$A$205,A8)/20</x:f>
        <x:v>0.1</x:v>
      </x:c>
      <x:c r="H8" s="12" t="n">
        <x:f>SUMIFS('00 Compact View'!$W$6:$W$205,'00 Compact View'!$A$6:$A$205,A8)/20</x:f>
        <x:v>0.1</x:v>
      </x:c>
      <x:c r="I8" s="12" t="n">
        <x:f>SUMIFS('00 Compact View'!$X$6:$X$205,'00 Compact View'!$A$6:$A$205,A8)/20</x:f>
        <x:v>0.1</x:v>
      </x:c>
      <x:c r="J8" s="12" t="n">
        <x:f>SUMIFS('00 Compact View'!$Y$6:$Y$205,'00 Compact View'!$A$6:$A$205,A8)/20</x:f>
        <x:v>0</x:v>
      </x:c>
      <x:c r="K8" s="12" t="n">
        <x:f>SUMIFS('00 Compact View'!$Z$6:$Z$205,'00 Compact View'!$A$6:$A$205,A8)/20</x:f>
        <x:v>0.1</x:v>
      </x:c>
      <x:c r="L8" s="12" t="n">
        <x:f>'04 Resource Body'!$B$10</x:f>
        <x:v>0</x:v>
      </x:c>
      <x:c r="M8" s="12" t="n">
        <x:f>'04 Resource Body'!$D$11</x:f>
        <x:v>1</x:v>
      </x:c>
      <x:c r="N8" s="12" t="n">
        <x:f>INDEX('06 Habit Efficiency'!$M$6:$M$15,A8)</x:f>
        <x:v>0.9329375</x:v>
      </x:c>
      <x:c r="O8" s="12" t="n">
        <x:f>INDEX('06 Habit Efficiency'!$I$6:$I$15,A8)</x:f>
        <x:v>0</x:v>
      </x:c>
      <x:c r="P8" s="12" t="n">
        <x:f>INDEX('06 Habit Efficiency'!$J$6:$J$15,A8)</x:f>
        <x:v>0</x:v>
      </x:c>
      <x:c r="Q8" s="12" t="n">
        <x:f>INDEX('06 Habit Efficiency'!$K$6:$K$15,A8)</x:f>
        <x:v>0</x:v>
      </x:c>
      <x:c r="R8" s="12" t="n">
        <x:f>INDEX('06 Habit Efficiency'!$L$6:$L$15,A8)</x:f>
        <x:v>0</x:v>
      </x:c>
    </x:row>
    <x:row r="9">
      <x:c r="A9" t="n">
        <x:f>4</x:f>
        <x:v>4</x:v>
      </x:c>
      <x:c r="B9" s="12" t="n">
        <x:f>(SUMIFS('00 Compact View'!$H$6:$H$205,'00 Compact View'!$A$6:$A$205,A9)+SUMIFS('00 Compact View'!$I$6:$I$205,'00 Compact View'!$A$6:$A$205,A9)+SUMIFS('00 Compact View'!$J$6:$J$205,'00 Compact View'!$A$6:$A$205,A9)+SUMIFS('00 Compact View'!$K$6:$K$205,'00 Compact View'!$A$6:$A$205,A9)+SUMIFS('00 Compact View'!$L$6:$L$205,'00 Compact View'!$A$6:$A$205,A9))/100</x:f>
        <x:v>0.01</x:v>
      </x:c>
      <x:c r="C9" s="12" t="n">
        <x:f>(SUMIFS('00 Compact View'!$M$6:$M$205,'00 Compact View'!$A$6:$A$205,A9)+SUMIFS('00 Compact View'!$N$6:$N$205,'00 Compact View'!$A$6:$A$205,A9)+SUMIFS('00 Compact View'!$O$6:$O$205,'00 Compact View'!$A$6:$A$205,A9)+SUMIFS('00 Compact View'!$P$6:$P$205,'00 Compact View'!$A$6:$A$205,A9)+SUMIFS('00 Compact View'!$Q$6:$Q$205,'00 Compact View'!$A$6:$A$205,A9))/100</x:f>
        <x:v>0.02</x:v>
      </x:c>
      <x:c r="D9" s="12" t="n">
        <x:f>SUMIFS('00 Compact View'!$R$6:$R$205,'00 Compact View'!$A$6:$A$205,A9)/20</x:f>
        <x:v>0</x:v>
      </x:c>
      <x:c r="E9" s="12" t="n">
        <x:f>AVERAGEIF('00 Compact View'!$A$6:$A$205,A9,'00 Compact View'!$S$6:$S$205)</x:f>
        <x:v>0.016666666666666666</x:v>
      </x:c>
      <x:c r="F9" s="12" t="n">
        <x:f>SUMIFS('00 Compact View'!$T$6:$T$205,'00 Compact View'!$A$6:$A$205,A9)/20</x:f>
        <x:v>0.2</x:v>
      </x:c>
      <x:c r="G9" s="12" t="n">
        <x:f>SUMIFS('00 Compact View'!$V$6:$V$205,'00 Compact View'!$A$6:$A$205,A9)/20</x:f>
        <x:v>0.2</x:v>
      </x:c>
      <x:c r="H9" s="12" t="n">
        <x:f>SUMIFS('00 Compact View'!$W$6:$W$205,'00 Compact View'!$A$6:$A$205,A9)/20</x:f>
        <x:v>0.2</x:v>
      </x:c>
      <x:c r="I9" s="12" t="n">
        <x:f>SUMIFS('00 Compact View'!$X$6:$X$205,'00 Compact View'!$A$6:$A$205,A9)/20</x:f>
        <x:v>0.2</x:v>
      </x:c>
      <x:c r="J9" s="12" t="n">
        <x:f>SUMIFS('00 Compact View'!$Y$6:$Y$205,'00 Compact View'!$A$6:$A$205,A9)/20</x:f>
        <x:v>0</x:v>
      </x:c>
      <x:c r="K9" s="12" t="n">
        <x:f>SUMIFS('00 Compact View'!$Z$6:$Z$205,'00 Compact View'!$A$6:$A$205,A9)/20</x:f>
        <x:v>0.2</x:v>
      </x:c>
      <x:c r="L9" s="12" t="n">
        <x:f>'04 Resource Body'!$B$10</x:f>
        <x:v>0</x:v>
      </x:c>
      <x:c r="M9" s="12" t="n">
        <x:f>'04 Resource Body'!$D$11</x:f>
        <x:v>1</x:v>
      </x:c>
      <x:c r="N9" s="12" t="n">
        <x:f>INDEX('06 Habit Efficiency'!$M$6:$M$15,A9)</x:f>
        <x:v>0.9871562500000001</x:v>
      </x:c>
      <x:c r="O9" s="12" t="n">
        <x:f>INDEX('06 Habit Efficiency'!$I$6:$I$15,A9)</x:f>
        <x:v>0</x:v>
      </x:c>
      <x:c r="P9" s="12" t="n">
        <x:f>INDEX('06 Habit Efficiency'!$J$6:$J$15,A9)</x:f>
        <x:v>1</x:v>
      </x:c>
      <x:c r="Q9" s="12" t="n">
        <x:f>INDEX('06 Habit Efficiency'!$K$6:$K$15,A9)</x:f>
        <x:v>0</x:v>
      </x:c>
      <x:c r="R9" s="12" t="n">
        <x:f>INDEX('06 Habit Efficiency'!$L$6:$L$15,A9)</x:f>
        <x:v>1</x:v>
      </x:c>
    </x:row>
    <x:row r="10">
      <x:c r="A10" t="n">
        <x:f>5</x:f>
        <x:v>5</x:v>
      </x:c>
      <x:c r="B10" s="12" t="n">
        <x:f>(SUMIFS('00 Compact View'!$H$6:$H$205,'00 Compact View'!$A$6:$A$205,A10)+SUMIFS('00 Compact View'!$I$6:$I$205,'00 Compact View'!$A$6:$A$205,A10)+SUMIFS('00 Compact View'!$J$6:$J$205,'00 Compact View'!$A$6:$A$205,A10)+SUMIFS('00 Compact View'!$K$6:$K$205,'00 Compact View'!$A$6:$A$205,A10)+SUMIFS('00 Compact View'!$L$6:$L$205,'00 Compact View'!$A$6:$A$205,A10))/100</x:f>
        <x:v>0</x:v>
      </x:c>
      <x:c r="C10" s="12" t="n">
        <x:f>(SUMIFS('00 Compact View'!$M$6:$M$205,'00 Compact View'!$A$6:$A$205,A10)+SUMIFS('00 Compact View'!$N$6:$N$205,'00 Compact View'!$A$6:$A$205,A10)+SUMIFS('00 Compact View'!$O$6:$O$205,'00 Compact View'!$A$6:$A$205,A10)+SUMIFS('00 Compact View'!$P$6:$P$205,'00 Compact View'!$A$6:$A$205,A10)+SUMIFS('00 Compact View'!$Q$6:$Q$205,'00 Compact View'!$A$6:$A$205,A10))/100</x:f>
        <x:v>0.03</x:v>
      </x:c>
      <x:c r="D10" s="12" t="n">
        <x:f>SUMIFS('00 Compact View'!$R$6:$R$205,'00 Compact View'!$A$6:$A$205,A10)/20</x:f>
        <x:v>0.05</x:v>
      </x:c>
      <x:c r="E10" s="12" t="n">
        <x:f>AVERAGEIF('00 Compact View'!$A$6:$A$205,A10,'00 Compact View'!$S$6:$S$205)</x:f>
        <x:v>0.03333333333333333</x:v>
      </x:c>
      <x:c r="F10" s="12" t="n">
        <x:f>SUMIFS('00 Compact View'!$T$6:$T$205,'00 Compact View'!$A$6:$A$205,A10)/20</x:f>
        <x:v>0.15</x:v>
      </x:c>
      <x:c r="G10" s="12" t="n">
        <x:f>SUMIFS('00 Compact View'!$V$6:$V$205,'00 Compact View'!$A$6:$A$205,A10)/20</x:f>
        <x:v>0.15</x:v>
      </x:c>
      <x:c r="H10" s="12" t="n">
        <x:f>SUMIFS('00 Compact View'!$W$6:$W$205,'00 Compact View'!$A$6:$A$205,A10)/20</x:f>
        <x:v>0.15</x:v>
      </x:c>
      <x:c r="I10" s="12" t="n">
        <x:f>SUMIFS('00 Compact View'!$X$6:$X$205,'00 Compact View'!$A$6:$A$205,A10)/20</x:f>
        <x:v>0.15</x:v>
      </x:c>
      <x:c r="J10" s="12" t="n">
        <x:f>SUMIFS('00 Compact View'!$Y$6:$Y$205,'00 Compact View'!$A$6:$A$205,A10)/20</x:f>
        <x:v>0</x:v>
      </x:c>
      <x:c r="K10" s="12" t="n">
        <x:f>SUMIFS('00 Compact View'!$Z$6:$Z$205,'00 Compact View'!$A$6:$A$205,A10)/20</x:f>
        <x:v>0.15</x:v>
      </x:c>
      <x:c r="L10" s="12" t="n">
        <x:f>'04 Resource Body'!$B$10</x:f>
        <x:v>0</x:v>
      </x:c>
      <x:c r="M10" s="12" t="n">
        <x:f>'04 Resource Body'!$D$11</x:f>
        <x:v>1</x:v>
      </x:c>
      <x:c r="N10" s="12" t="n">
        <x:f>INDEX('06 Habit Efficiency'!$M$6:$M$15,A10)</x:f>
        <x:v>0.98546875</x:v>
      </x:c>
      <x:c r="O10" s="12" t="n">
        <x:f>INDEX('06 Habit Efficiency'!$I$6:$I$15,A10)</x:f>
        <x:v>0</x:v>
      </x:c>
      <x:c r="P10" s="12" t="n">
        <x:f>INDEX('06 Habit Efficiency'!$J$6:$J$15,A10)</x:f>
        <x:v>1</x:v>
      </x:c>
      <x:c r="Q10" s="12" t="n">
        <x:f>INDEX('06 Habit Efficiency'!$K$6:$K$15,A10)</x:f>
        <x:v>0</x:v>
      </x:c>
      <x:c r="R10" s="12" t="n">
        <x:f>INDEX('06 Habit Efficiency'!$L$6:$L$15,A10)</x:f>
        <x:v>1</x:v>
      </x:c>
    </x:row>
    <x:row r="11">
      <x:c r="A11" t="n">
        <x:f>6</x:f>
        <x:v>6</x:v>
      </x:c>
      <x:c r="B11" s="12" t="n">
        <x:f>(SUMIFS('00 Compact View'!$H$6:$H$205,'00 Compact View'!$A$6:$A$205,A11)+SUMIFS('00 Compact View'!$I$6:$I$205,'00 Compact View'!$A$6:$A$205,A11)+SUMIFS('00 Compact View'!$J$6:$J$205,'00 Compact View'!$A$6:$A$205,A11)+SUMIFS('00 Compact View'!$K$6:$K$205,'00 Compact View'!$A$6:$A$205,A11)+SUMIFS('00 Compact View'!$L$6:$L$205,'00 Compact View'!$A$6:$A$205,A11))/100</x:f>
        <x:v>0.02</x:v>
      </x:c>
      <x:c r="C11" s="12" t="n">
        <x:f>(SUMIFS('00 Compact View'!$M$6:$M$205,'00 Compact View'!$A$6:$A$205,A11)+SUMIFS('00 Compact View'!$N$6:$N$205,'00 Compact View'!$A$6:$A$205,A11)+SUMIFS('00 Compact View'!$O$6:$O$205,'00 Compact View'!$A$6:$A$205,A11)+SUMIFS('00 Compact View'!$P$6:$P$205,'00 Compact View'!$A$6:$A$205,A11)+SUMIFS('00 Compact View'!$Q$6:$Q$205,'00 Compact View'!$A$6:$A$205,A11))/100</x:f>
        <x:v>0.05</x:v>
      </x:c>
      <x:c r="D11" s="12" t="n">
        <x:f>SUMIFS('00 Compact View'!$R$6:$R$205,'00 Compact View'!$A$6:$A$205,A11)/20</x:f>
        <x:v>0.05</x:v>
      </x:c>
      <x:c r="E11" s="12" t="n">
        <x:f>AVERAGEIF('00 Compact View'!$A$6:$A$205,A11,'00 Compact View'!$S$6:$S$205)</x:f>
        <x:v>0.049999999999999996</x:v>
      </x:c>
      <x:c r="F11" s="12" t="n">
        <x:f>SUMIFS('00 Compact View'!$T$6:$T$205,'00 Compact View'!$A$6:$A$205,A11)/20</x:f>
        <x:v>0.35</x:v>
      </x:c>
      <x:c r="G11" s="12" t="n">
        <x:f>SUMIFS('00 Compact View'!$V$6:$V$205,'00 Compact View'!$A$6:$A$205,A11)/20</x:f>
        <x:v>0.35</x:v>
      </x:c>
      <x:c r="H11" s="12" t="n">
        <x:f>SUMIFS('00 Compact View'!$W$6:$W$205,'00 Compact View'!$A$6:$A$205,A11)/20</x:f>
        <x:v>0.35</x:v>
      </x:c>
      <x:c r="I11" s="12" t="n">
        <x:f>SUMIFS('00 Compact View'!$X$6:$X$205,'00 Compact View'!$A$6:$A$205,A11)/20</x:f>
        <x:v>0.35</x:v>
      </x:c>
      <x:c r="J11" s="12" t="n">
        <x:f>SUMIFS('00 Compact View'!$Y$6:$Y$205,'00 Compact View'!$A$6:$A$205,A11)/20</x:f>
        <x:v>0</x:v>
      </x:c>
      <x:c r="K11" s="12" t="n">
        <x:f>SUMIFS('00 Compact View'!$Z$6:$Z$205,'00 Compact View'!$A$6:$A$205,A11)/20</x:f>
        <x:v>0.35</x:v>
      </x:c>
      <x:c r="L11" s="12" t="n">
        <x:f>'04 Resource Body'!$B$10</x:f>
        <x:v>0</x:v>
      </x:c>
      <x:c r="M11" s="12" t="n">
        <x:f>'04 Resource Body'!$D$11</x:f>
        <x:v>1</x:v>
      </x:c>
      <x:c r="N11" s="12" t="n">
        <x:f>INDEX('06 Habit Efficiency'!$M$6:$M$15,A11)</x:f>
        <x:v>0.99390625</x:v>
      </x:c>
      <x:c r="O11" s="12" t="n">
        <x:f>INDEX('06 Habit Efficiency'!$I$6:$I$15,A11)</x:f>
        <x:v>0</x:v>
      </x:c>
      <x:c r="P11" s="12" t="n">
        <x:f>INDEX('06 Habit Efficiency'!$J$6:$J$15,A11)</x:f>
        <x:v>1</x:v>
      </x:c>
      <x:c r="Q11" s="12" t="n">
        <x:f>INDEX('06 Habit Efficiency'!$K$6:$K$15,A11)</x:f>
        <x:v>0</x:v>
      </x:c>
      <x:c r="R11" s="12" t="n">
        <x:f>INDEX('06 Habit Efficiency'!$L$6:$L$15,A11)</x:f>
        <x:v>1</x:v>
      </x:c>
    </x:row>
    <x:row r="12">
      <x:c r="A12" t="n">
        <x:f>7</x:f>
        <x:v>7</x:v>
      </x:c>
      <x:c r="B12" s="12" t="n">
        <x:f>(SUMIFS('00 Compact View'!$H$6:$H$205,'00 Compact View'!$A$6:$A$205,A12)+SUMIFS('00 Compact View'!$I$6:$I$205,'00 Compact View'!$A$6:$A$205,A12)+SUMIFS('00 Compact View'!$J$6:$J$205,'00 Compact View'!$A$6:$A$205,A12)+SUMIFS('00 Compact View'!$K$6:$K$205,'00 Compact View'!$A$6:$A$205,A12)+SUMIFS('00 Compact View'!$L$6:$L$205,'00 Compact View'!$A$6:$A$205,A12))/100</x:f>
        <x:v>0</x:v>
      </x:c>
      <x:c r="C12" s="12" t="n">
        <x:f>(SUMIFS('00 Compact View'!$M$6:$M$205,'00 Compact View'!$A$6:$A$205,A12)+SUMIFS('00 Compact View'!$N$6:$N$205,'00 Compact View'!$A$6:$A$205,A12)+SUMIFS('00 Compact View'!$O$6:$O$205,'00 Compact View'!$A$6:$A$205,A12)+SUMIFS('00 Compact View'!$P$6:$P$205,'00 Compact View'!$A$6:$A$205,A12)+SUMIFS('00 Compact View'!$Q$6:$Q$205,'00 Compact View'!$A$6:$A$205,A12))/100</x:f>
        <x:v>0.54</x:v>
      </x:c>
      <x:c r="D12" s="12" t="n">
        <x:f>SUMIFS('00 Compact View'!$R$6:$R$205,'00 Compact View'!$A$6:$A$205,A12)/20</x:f>
        <x:v>0.95</x:v>
      </x:c>
      <x:c r="E12" s="12" t="n">
        <x:f>AVERAGEIF('00 Compact View'!$A$6:$A$205,A12,'00 Compact View'!$S$6:$S$205)</x:f>
        <x:v>0.6083333333333332</x:v>
      </x:c>
      <x:c r="F12" s="12" t="n">
        <x:f>SUMIFS('00 Compact View'!$T$6:$T$205,'00 Compact View'!$A$6:$A$205,A12)/20</x:f>
        <x:v>0.7</x:v>
      </x:c>
      <x:c r="G12" s="12" t="n">
        <x:f>SUMIFS('00 Compact View'!$V$6:$V$205,'00 Compact View'!$A$6:$A$205,A12)/20</x:f>
        <x:v>0.95</x:v>
      </x:c>
      <x:c r="H12" s="12" t="n">
        <x:f>SUMIFS('00 Compact View'!$W$6:$W$205,'00 Compact View'!$A$6:$A$205,A12)/20</x:f>
        <x:v>0.95</x:v>
      </x:c>
      <x:c r="I12" s="12" t="n">
        <x:f>SUMIFS('00 Compact View'!$X$6:$X$205,'00 Compact View'!$A$6:$A$205,A12)/20</x:f>
        <x:v>0.95</x:v>
      </x:c>
      <x:c r="J12" s="12" t="n">
        <x:f>SUMIFS('00 Compact View'!$Y$6:$Y$205,'00 Compact View'!$A$6:$A$205,A12)/20</x:f>
        <x:v>0</x:v>
      </x:c>
      <x:c r="K12" s="12" t="n">
        <x:f>SUMIFS('00 Compact View'!$Z$6:$Z$205,'00 Compact View'!$A$6:$A$205,A12)/20</x:f>
        <x:v>0.95</x:v>
      </x:c>
      <x:c r="L12" s="12" t="n">
        <x:f>'04 Resource Body'!$B$10</x:f>
        <x:v>0</x:v>
      </x:c>
      <x:c r="M12" s="12" t="n">
        <x:f>'04 Resource Body'!$D$11</x:f>
        <x:v>1</x:v>
      </x:c>
      <x:c r="N12" s="12" t="n">
        <x:f>INDEX('06 Habit Efficiency'!$M$6:$M$15,A12)</x:f>
        <x:v>1</x:v>
      </x:c>
      <x:c r="O12" s="12" t="n">
        <x:f>INDEX('06 Habit Efficiency'!$I$6:$I$15,A12)</x:f>
        <x:v>1</x:v>
      </x:c>
      <x:c r="P12" s="12" t="n">
        <x:f>INDEX('06 Habit Efficiency'!$J$6:$J$15,A12)</x:f>
        <x:v>0</x:v>
      </x:c>
      <x:c r="Q12" s="12" t="n">
        <x:f>INDEX('06 Habit Efficiency'!$K$6:$K$15,A12)</x:f>
        <x:v>1</x:v>
      </x:c>
      <x:c r="R12" s="12" t="n">
        <x:f>INDEX('06 Habit Efficiency'!$L$6:$L$15,A12)</x:f>
        <x:v>1</x:v>
      </x:c>
    </x:row>
    <x:row r="13">
      <x:c r="A13" t="n">
        <x:f>8</x:f>
        <x:v>8</x:v>
      </x:c>
      <x:c r="B13" s="12" t="n">
        <x:f>(SUMIFS('00 Compact View'!$H$6:$H$205,'00 Compact View'!$A$6:$A$205,A13)+SUMIFS('00 Compact View'!$I$6:$I$205,'00 Compact View'!$A$6:$A$205,A13)+SUMIFS('00 Compact View'!$J$6:$J$205,'00 Compact View'!$A$6:$A$205,A13)+SUMIFS('00 Compact View'!$K$6:$K$205,'00 Compact View'!$A$6:$A$205,A13)+SUMIFS('00 Compact View'!$L$6:$L$205,'00 Compact View'!$A$6:$A$205,A13))/100</x:f>
        <x:v>0.08</x:v>
      </x:c>
      <x:c r="C13" s="12" t="n">
        <x:f>(SUMIFS('00 Compact View'!$M$6:$M$205,'00 Compact View'!$A$6:$A$205,A13)+SUMIFS('00 Compact View'!$N$6:$N$205,'00 Compact View'!$A$6:$A$205,A13)+SUMIFS('00 Compact View'!$O$6:$O$205,'00 Compact View'!$A$6:$A$205,A13)+SUMIFS('00 Compact View'!$P$6:$P$205,'00 Compact View'!$A$6:$A$205,A13)+SUMIFS('00 Compact View'!$Q$6:$Q$205,'00 Compact View'!$A$6:$A$205,A13))/100</x:f>
        <x:v>0.32</x:v>
      </x:c>
      <x:c r="D13" s="12" t="n">
        <x:f>SUMIFS('00 Compact View'!$R$6:$R$205,'00 Compact View'!$A$6:$A$205,A13)/20</x:f>
        <x:v>0.5</x:v>
      </x:c>
      <x:c r="E13" s="12" t="n">
        <x:f>AVERAGEIF('00 Compact View'!$A$6:$A$205,A13,'00 Compact View'!$S$6:$S$205)</x:f>
        <x:v>0.35000000000000003</x:v>
      </x:c>
      <x:c r="F13" s="12" t="n">
        <x:f>SUMIFS('00 Compact View'!$T$6:$T$205,'00 Compact View'!$A$6:$A$205,A13)/20</x:f>
        <x:v>0.4</x:v>
      </x:c>
      <x:c r="G13" s="12" t="n">
        <x:f>SUMIFS('00 Compact View'!$V$6:$V$205,'00 Compact View'!$A$6:$A$205,A13)/20</x:f>
        <x:v>0.75</x:v>
      </x:c>
      <x:c r="H13" s="12" t="n">
        <x:f>SUMIFS('00 Compact View'!$W$6:$W$205,'00 Compact View'!$A$6:$A$205,A13)/20</x:f>
        <x:v>0.65</x:v>
      </x:c>
      <x:c r="I13" s="12" t="n">
        <x:f>SUMIFS('00 Compact View'!$X$6:$X$205,'00 Compact View'!$A$6:$A$205,A13)/20</x:f>
        <x:v>0.65</x:v>
      </x:c>
      <x:c r="J13" s="12" t="n">
        <x:f>SUMIFS('00 Compact View'!$Y$6:$Y$205,'00 Compact View'!$A$6:$A$205,A13)/20</x:f>
        <x:v>0</x:v>
      </x:c>
      <x:c r="K13" s="12" t="n">
        <x:f>SUMIFS('00 Compact View'!$Z$6:$Z$205,'00 Compact View'!$A$6:$A$205,A13)/20</x:f>
        <x:v>0.75</x:v>
      </x:c>
      <x:c r="L13" s="12" t="n">
        <x:f>'04 Resource Body'!$B$10</x:f>
        <x:v>0</x:v>
      </x:c>
      <x:c r="M13" s="12" t="n">
        <x:f>'04 Resource Body'!$D$11</x:f>
        <x:v>1</x:v>
      </x:c>
      <x:c r="N13" s="12" t="n">
        <x:f>INDEX('06 Habit Efficiency'!$M$6:$M$15,A13)</x:f>
        <x:v>1</x:v>
      </x:c>
      <x:c r="O13" s="12" t="n">
        <x:f>INDEX('06 Habit Efficiency'!$I$6:$I$15,A13)</x:f>
        <x:v>0</x:v>
      </x:c>
      <x:c r="P13" s="12" t="n">
        <x:f>INDEX('06 Habit Efficiency'!$J$6:$J$15,A13)</x:f>
        <x:v>1</x:v>
      </x:c>
      <x:c r="Q13" s="12" t="n">
        <x:f>INDEX('06 Habit Efficiency'!$K$6:$K$15,A13)</x:f>
        <x:v>0</x:v>
      </x:c>
      <x:c r="R13" s="12" t="n">
        <x:f>INDEX('06 Habit Efficiency'!$L$6:$L$15,A13)</x:f>
        <x:v>1</x:v>
      </x:c>
    </x:row>
    <x:row r="14">
      <x:c r="A14" t="n">
        <x:f>9</x:f>
        <x:v>9</x:v>
      </x:c>
      <x:c r="B14" s="12" t="n">
        <x:f>(SUMIFS('00 Compact View'!$H$6:$H$205,'00 Compact View'!$A$6:$A$205,A14)+SUMIFS('00 Compact View'!$I$6:$I$205,'00 Compact View'!$A$6:$A$205,A14)+SUMIFS('00 Compact View'!$J$6:$J$205,'00 Compact View'!$A$6:$A$205,A14)+SUMIFS('00 Compact View'!$K$6:$K$205,'00 Compact View'!$A$6:$A$205,A14)+SUMIFS('00 Compact View'!$L$6:$L$205,'00 Compact View'!$A$6:$A$205,A14))/100</x:f>
        <x:v>0.18</x:v>
      </x:c>
      <x:c r="C14" s="12" t="n">
        <x:f>(SUMIFS('00 Compact View'!$M$6:$M$205,'00 Compact View'!$A$6:$A$205,A14)+SUMIFS('00 Compact View'!$N$6:$N$205,'00 Compact View'!$A$6:$A$205,A14)+SUMIFS('00 Compact View'!$O$6:$O$205,'00 Compact View'!$A$6:$A$205,A14)+SUMIFS('00 Compact View'!$P$6:$P$205,'00 Compact View'!$A$6:$A$205,A14)+SUMIFS('00 Compact View'!$Q$6:$Q$205,'00 Compact View'!$A$6:$A$205,A14))/100</x:f>
        <x:v>0.5</x:v>
      </x:c>
      <x:c r="D14" s="12" t="n">
        <x:f>SUMIFS('00 Compact View'!$R$6:$R$205,'00 Compact View'!$A$6:$A$205,A14)/20</x:f>
        <x:v>0.85</x:v>
      </x:c>
      <x:c r="E14" s="12" t="n">
        <x:f>AVERAGEIF('00 Compact View'!$A$6:$A$205,A14,'00 Compact View'!$S$6:$S$205)</x:f>
        <x:v>0.5583333333333333</x:v>
      </x:c>
      <x:c r="F14" s="12" t="n">
        <x:f>SUMIFS('00 Compact View'!$T$6:$T$205,'00 Compact View'!$A$6:$A$205,A14)/20</x:f>
        <x:v>0.65</x:v>
      </x:c>
      <x:c r="G14" s="12" t="n">
        <x:f>SUMIFS('00 Compact View'!$V$6:$V$205,'00 Compact View'!$A$6:$A$205,A14)/20</x:f>
        <x:v>0.95</x:v>
      </x:c>
      <x:c r="H14" s="12" t="n">
        <x:f>SUMIFS('00 Compact View'!$W$6:$W$205,'00 Compact View'!$A$6:$A$205,A14)/20</x:f>
        <x:v>0.95</x:v>
      </x:c>
      <x:c r="I14" s="12" t="n">
        <x:f>SUMIFS('00 Compact View'!$X$6:$X$205,'00 Compact View'!$A$6:$A$205,A14)/20</x:f>
        <x:v>0.95</x:v>
      </x:c>
      <x:c r="J14" s="12" t="n">
        <x:f>SUMIFS('00 Compact View'!$Y$6:$Y$205,'00 Compact View'!$A$6:$A$205,A14)/20</x:f>
        <x:v>0.55</x:v>
      </x:c>
      <x:c r="K14" s="12" t="n">
        <x:f>SUMIFS('00 Compact View'!$Z$6:$Z$205,'00 Compact View'!$A$6:$A$205,A14)/20</x:f>
        <x:v>0.95</x:v>
      </x:c>
      <x:c r="L14" s="12" t="n">
        <x:f>'04 Resource Body'!$B$10</x:f>
        <x:v>0</x:v>
      </x:c>
      <x:c r="M14" s="12" t="n">
        <x:f>'04 Resource Body'!$D$11</x:f>
        <x:v>1</x:v>
      </x:c>
      <x:c r="N14" s="12" t="n">
        <x:f>INDEX('06 Habit Efficiency'!$M$6:$M$15,A14)</x:f>
        <x:v>1</x:v>
      </x:c>
      <x:c r="O14" s="12" t="n">
        <x:f>INDEX('06 Habit Efficiency'!$I$6:$I$15,A14)</x:f>
        <x:v>1</x:v>
      </x:c>
      <x:c r="P14" s="12" t="n">
        <x:f>INDEX('06 Habit Efficiency'!$J$6:$J$15,A14)</x:f>
        <x:v>0</x:v>
      </x:c>
      <x:c r="Q14" s="12" t="n">
        <x:f>INDEX('06 Habit Efficiency'!$K$6:$K$15,A14)</x:f>
        <x:v>1</x:v>
      </x:c>
      <x:c r="R14" s="12" t="n">
        <x:f>INDEX('06 Habit Efficiency'!$L$6:$L$15,A14)</x:f>
        <x:v>1</x:v>
      </x:c>
    </x:row>
    <x:row r="15">
      <x:c r="A15" t="n">
        <x:f>10</x:f>
        <x:v>10</x:v>
      </x:c>
      <x:c r="B15" s="12" t="n">
        <x:f>(SUMIFS('00 Compact View'!$H$6:$H$205,'00 Compact View'!$A$6:$A$205,A15)+SUMIFS('00 Compact View'!$I$6:$I$205,'00 Compact View'!$A$6:$A$205,A15)+SUMIFS('00 Compact View'!$J$6:$J$205,'00 Compact View'!$A$6:$A$205,A15)+SUMIFS('00 Compact View'!$K$6:$K$205,'00 Compact View'!$A$6:$A$205,A15)+SUMIFS('00 Compact View'!$L$6:$L$205,'00 Compact View'!$A$6:$A$205,A15))/100</x:f>
        <x:v>0.6</x:v>
      </x:c>
      <x:c r="C15" s="12" t="n">
        <x:f>(SUMIFS('00 Compact View'!$M$6:$M$205,'00 Compact View'!$A$6:$A$205,A15)+SUMIFS('00 Compact View'!$N$6:$N$205,'00 Compact View'!$A$6:$A$205,A15)+SUMIFS('00 Compact View'!$O$6:$O$205,'00 Compact View'!$A$6:$A$205,A15)+SUMIFS('00 Compact View'!$P$6:$P$205,'00 Compact View'!$A$6:$A$205,A15)+SUMIFS('00 Compact View'!$Q$6:$Q$205,'00 Compact View'!$A$6:$A$205,A15))/100</x:f>
        <x:v>0.77</x:v>
      </x:c>
      <x:c r="D15" s="12" t="n">
        <x:f>SUMIFS('00 Compact View'!$R$6:$R$205,'00 Compact View'!$A$6:$A$205,A15)/20</x:f>
        <x:v>0.95</x:v>
      </x:c>
      <x:c r="E15" s="12" t="n">
        <x:f>AVERAGEIF('00 Compact View'!$A$6:$A$205,A15,'00 Compact View'!$S$6:$S$205)</x:f>
        <x:v>0.8</x:v>
      </x:c>
      <x:c r="F15" s="12" t="n">
        <x:f>SUMIFS('00 Compact View'!$T$6:$T$205,'00 Compact View'!$A$6:$A$205,A15)/20</x:f>
        <x:v>0.4</x:v>
      </x:c>
      <x:c r="G15" s="12" t="n">
        <x:f>SUMIFS('00 Compact View'!$V$6:$V$205,'00 Compact View'!$A$6:$A$205,A15)/20</x:f>
        <x:v>1</x:v>
      </x:c>
      <x:c r="H15" s="12" t="n">
        <x:f>SUMIFS('00 Compact View'!$W$6:$W$205,'00 Compact View'!$A$6:$A$205,A15)/20</x:f>
        <x:v>0.95</x:v>
      </x:c>
      <x:c r="I15" s="12" t="n">
        <x:f>SUMIFS('00 Compact View'!$X$6:$X$205,'00 Compact View'!$A$6:$A$205,A15)/20</x:f>
        <x:v>0.95</x:v>
      </x:c>
      <x:c r="J15" s="12" t="n">
        <x:f>SUMIFS('00 Compact View'!$Y$6:$Y$205,'00 Compact View'!$A$6:$A$205,A15)/20</x:f>
        <x:v>0.65</x:v>
      </x:c>
      <x:c r="K15" s="12" t="n">
        <x:f>SUMIFS('00 Compact View'!$Z$6:$Z$205,'00 Compact View'!$A$6:$A$205,A15)/20</x:f>
        <x:v>1</x:v>
      </x:c>
      <x:c r="L15" s="12" t="n">
        <x:f>'04 Resource Body'!$B$10</x:f>
        <x:v>0</x:v>
      </x:c>
      <x:c r="M15" s="12" t="n">
        <x:f>'04 Resource Body'!$D$11</x:f>
        <x:v>1</x:v>
      </x:c>
      <x:c r="N15" s="12" t="n">
        <x:f>INDEX('06 Habit Efficiency'!$M$6:$M$15,A15)</x:f>
        <x:v>1</x:v>
      </x:c>
      <x:c r="O15" s="12" t="n">
        <x:f>INDEX('06 Habit Efficiency'!$I$6:$I$15,A15)</x:f>
        <x:v>1</x:v>
      </x:c>
      <x:c r="P15" s="12" t="n">
        <x:f>INDEX('06 Habit Efficiency'!$J$6:$J$15,A15)</x:f>
        <x:v>0</x:v>
      </x:c>
      <x:c r="Q15" s="12" t="n">
        <x:f>INDEX('06 Habit Efficiency'!$K$6:$K$15,A15)</x:f>
        <x:v>1</x:v>
      </x:c>
      <x:c r="R15" s="12" t="n">
        <x:f>INDEX('06 Habit Efficiency'!$L$6:$L$15,A15)</x:f>
        <x:v>1</x:v>
      </x:c>
    </x:row>
  </x:sheetData>
  <x:mergeCells>
    <x:mergeCell ref="A1:R1"/>
    <x:mergeCell ref="A2:R2"/>
  </x:mergeCells>
  <x:pageMargins left="0.7" right="0.7" top="0.75" bottom="0.75" header="0.3" footer="0.3"/>
</x:worksheet>
</file>